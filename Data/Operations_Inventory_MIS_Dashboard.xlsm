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5390e9090fa05af/Desktop/Operation mis inventory  Dashboard/Data/"/>
    </mc:Choice>
  </mc:AlternateContent>
  <xr:revisionPtr revIDLastSave="8" documentId="13_ncr:1_{17B80EAB-4BB4-4B64-8EB8-7F8917AA1D10}" xr6:coauthVersionLast="47" xr6:coauthVersionMax="47" xr10:uidLastSave="{E0A4761A-C20A-44A9-9DA2-53AA70F75FF1}"/>
  <bookViews>
    <workbookView xWindow="-110" yWindow="-110" windowWidth="19420" windowHeight="10300" tabRatio="904" activeTab="4" xr2:uid="{00000000-000D-0000-FFFF-FFFF00000000}"/>
  </bookViews>
  <sheets>
    <sheet name="qry_Orders" sheetId="4" r:id="rId1"/>
    <sheet name="Orders" sheetId="1" r:id="rId2"/>
    <sheet name="qry_Inventory" sheetId="5" r:id="rId3"/>
    <sheet name="Inventory" sheetId="2" r:id="rId4"/>
    <sheet name="qry_Purchase" sheetId="6" r:id="rId5"/>
    <sheet name="Purchase" sheetId="3" r:id="rId6"/>
    <sheet name="MIS_Summary" sheetId="7" r:id="rId7"/>
    <sheet name="Dashboard" sheetId="8" r:id="rId8"/>
  </sheets>
  <definedNames>
    <definedName name="ExternalData_1" localSheetId="2" hidden="1">qry_Inventory!$A$1:$H$33</definedName>
    <definedName name="ExternalData_1" localSheetId="0" hidden="1">qry_Orders!$A$1:$K$1001</definedName>
    <definedName name="ExternalData_1" localSheetId="4" hidden="1">qry_Purchase!$A$1:$I$301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7" l="1"/>
  <c r="D20" i="7"/>
  <c r="E20" i="7" s="1"/>
  <c r="C20" i="7"/>
  <c r="B20" i="7"/>
  <c r="D19" i="7"/>
  <c r="E19" i="7" s="1"/>
  <c r="C19" i="7"/>
  <c r="B19" i="7"/>
  <c r="D18" i="7"/>
  <c r="E18" i="7" s="1"/>
  <c r="C18" i="7"/>
  <c r="B18" i="7"/>
  <c r="D17" i="7"/>
  <c r="E17" i="7" s="1"/>
  <c r="C17" i="7"/>
  <c r="C21" i="7" s="1"/>
  <c r="B17" i="7"/>
  <c r="B24" i="7" s="1"/>
  <c r="B12" i="7"/>
  <c r="B10" i="7"/>
  <c r="B9" i="7"/>
  <c r="B8" i="7"/>
  <c r="B7" i="7"/>
  <c r="B6" i="7"/>
  <c r="B5" i="7"/>
  <c r="B3" i="7"/>
  <c r="B26" i="7" l="1"/>
  <c r="B21" i="7"/>
  <c r="B25" i="7"/>
  <c r="D21" i="7"/>
  <c r="E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6D03E2-4D13-4747-8BDF-17C7B5379BE3}" keepAlive="1" name="Query - qry_Inventory" description="Connection to the 'qry_Inventory' query in the workbook." type="5" refreshedVersion="8" background="1" saveData="1">
    <dbPr connection="Provider=Microsoft.Mashup.OleDb.1;Data Source=$Workbook$;Location=qry_Inventory;Extended Properties=&quot;&quot;" command="SELECT * FROM [qry_Inventory]"/>
  </connection>
  <connection id="2" xr16:uid="{4A65F063-A0CD-45C2-B4C3-028D43C19679}" keepAlive="1" name="Query - qry_Orders" description="Connection to the 'qry_Orders' query in the workbook." type="5" refreshedVersion="8" background="1" saveData="1">
    <dbPr connection="Provider=Microsoft.Mashup.OleDb.1;Data Source=$Workbook$;Location=qry_Orders;Extended Properties=&quot;&quot;" command="SELECT * FROM [qry_Orders]"/>
  </connection>
  <connection id="3" xr16:uid="{40F11BC5-2CB1-4928-A62B-FF2E4C5F0E4C}" keepAlive="1" name="Query - qry_Purchase" description="Connection to the 'qry_Purchase' query in the workbook." type="5" refreshedVersion="8" background="1" saveData="1">
    <dbPr connection="Provider=Microsoft.Mashup.OleDb.1;Data Source=$Workbook$;Location=qry_Purchase;Extended Properties=&quot;&quot;" command="SELECT * FROM [qry_Purchase]"/>
  </connection>
</connections>
</file>

<file path=xl/sharedStrings.xml><?xml version="1.0" encoding="utf-8"?>
<sst xmlns="http://schemas.openxmlformats.org/spreadsheetml/2006/main" count="13639" uniqueCount="1371">
  <si>
    <t>Order_ID</t>
  </si>
  <si>
    <t>Order_Date</t>
  </si>
  <si>
    <t>Region</t>
  </si>
  <si>
    <t>Warehouse</t>
  </si>
  <si>
    <t>Product</t>
  </si>
  <si>
    <t>Quantity</t>
  </si>
  <si>
    <t>Order_Status</t>
  </si>
  <si>
    <t>Expected_Dispatch_Date</t>
  </si>
  <si>
    <t>Actual_Dispatch_Date</t>
  </si>
  <si>
    <t>ORD1001</t>
  </si>
  <si>
    <t>East</t>
  </si>
  <si>
    <t>Kolkata</t>
  </si>
  <si>
    <t>Scanner</t>
  </si>
  <si>
    <t>Dispatched</t>
  </si>
  <si>
    <t>ORD1002</t>
  </si>
  <si>
    <t>North</t>
  </si>
  <si>
    <t>Delhi</t>
  </si>
  <si>
    <t>Headset</t>
  </si>
  <si>
    <t>ORD1003</t>
  </si>
  <si>
    <t>West</t>
  </si>
  <si>
    <t>Mumbai</t>
  </si>
  <si>
    <t>ORD1004</t>
  </si>
  <si>
    <t>Keyboard</t>
  </si>
  <si>
    <t>ORD1005</t>
  </si>
  <si>
    <t>Laptop</t>
  </si>
  <si>
    <t>ORD1006</t>
  </si>
  <si>
    <t>Pending</t>
  </si>
  <si>
    <t>ORD1007</t>
  </si>
  <si>
    <t>ORD1008</t>
  </si>
  <si>
    <t>ORD1009</t>
  </si>
  <si>
    <t>ORD1010</t>
  </si>
  <si>
    <t>ORD1011</t>
  </si>
  <si>
    <t>Mouse</t>
  </si>
  <si>
    <t>ORD1012</t>
  </si>
  <si>
    <t>South</t>
  </si>
  <si>
    <t>Chennai</t>
  </si>
  <si>
    <t>ORD1013</t>
  </si>
  <si>
    <t>ORD1014</t>
  </si>
  <si>
    <t>ORD1015</t>
  </si>
  <si>
    <t>ORD1016</t>
  </si>
  <si>
    <t>ORD1017</t>
  </si>
  <si>
    <t>ORD1018</t>
  </si>
  <si>
    <t>ORD1019</t>
  </si>
  <si>
    <t>Router</t>
  </si>
  <si>
    <t>ORD1020</t>
  </si>
  <si>
    <t>ORD1021</t>
  </si>
  <si>
    <t>Monitor</t>
  </si>
  <si>
    <t>ORD1022</t>
  </si>
  <si>
    <t>ORD1023</t>
  </si>
  <si>
    <t>ORD1024</t>
  </si>
  <si>
    <t>ORD1025</t>
  </si>
  <si>
    <t>ORD1026</t>
  </si>
  <si>
    <t>ORD1027</t>
  </si>
  <si>
    <t>ORD1028</t>
  </si>
  <si>
    <t>ORD1029</t>
  </si>
  <si>
    <t>Printer</t>
  </si>
  <si>
    <t>ORD1030</t>
  </si>
  <si>
    <t>ORD1031</t>
  </si>
  <si>
    <t>ORD1032</t>
  </si>
  <si>
    <t>ORD1033</t>
  </si>
  <si>
    <t>ORD1034</t>
  </si>
  <si>
    <t>ORD1035</t>
  </si>
  <si>
    <t>Delayed</t>
  </si>
  <si>
    <t>ORD1036</t>
  </si>
  <si>
    <t>ORD1037</t>
  </si>
  <si>
    <t>ORD1038</t>
  </si>
  <si>
    <t>ORD1039</t>
  </si>
  <si>
    <t>ORD1040</t>
  </si>
  <si>
    <t>ORD1041</t>
  </si>
  <si>
    <t>ORD1042</t>
  </si>
  <si>
    <t>ORD1043</t>
  </si>
  <si>
    <t>ORD1044</t>
  </si>
  <si>
    <t>ORD1045</t>
  </si>
  <si>
    <t>ORD1046</t>
  </si>
  <si>
    <t>ORD1047</t>
  </si>
  <si>
    <t>ORD1048</t>
  </si>
  <si>
    <t>ORD1049</t>
  </si>
  <si>
    <t>ORD1050</t>
  </si>
  <si>
    <t>ORD1051</t>
  </si>
  <si>
    <t>ORD1052</t>
  </si>
  <si>
    <t>ORD1053</t>
  </si>
  <si>
    <t>ORD1054</t>
  </si>
  <si>
    <t>ORD1055</t>
  </si>
  <si>
    <t>ORD1056</t>
  </si>
  <si>
    <t>ORD1057</t>
  </si>
  <si>
    <t>ORD1058</t>
  </si>
  <si>
    <t>ORD1059</t>
  </si>
  <si>
    <t>ORD1060</t>
  </si>
  <si>
    <t>ORD1061</t>
  </si>
  <si>
    <t>ORD1062</t>
  </si>
  <si>
    <t>ORD1063</t>
  </si>
  <si>
    <t>ORD1064</t>
  </si>
  <si>
    <t>ORD1065</t>
  </si>
  <si>
    <t>ORD1066</t>
  </si>
  <si>
    <t>ORD1067</t>
  </si>
  <si>
    <t>ORD1068</t>
  </si>
  <si>
    <t>ORD1069</t>
  </si>
  <si>
    <t>ORD1070</t>
  </si>
  <si>
    <t>ORD1071</t>
  </si>
  <si>
    <t>ORD1072</t>
  </si>
  <si>
    <t>ORD1073</t>
  </si>
  <si>
    <t>ORD1074</t>
  </si>
  <si>
    <t>ORD1075</t>
  </si>
  <si>
    <t>ORD1076</t>
  </si>
  <si>
    <t>ORD1077</t>
  </si>
  <si>
    <t>ORD1078</t>
  </si>
  <si>
    <t>ORD1079</t>
  </si>
  <si>
    <t>ORD1080</t>
  </si>
  <si>
    <t>ORD1081</t>
  </si>
  <si>
    <t>ORD1082</t>
  </si>
  <si>
    <t>ORD1083</t>
  </si>
  <si>
    <t>ORD1084</t>
  </si>
  <si>
    <t>ORD1085</t>
  </si>
  <si>
    <t>ORD1086</t>
  </si>
  <si>
    <t>ORD1087</t>
  </si>
  <si>
    <t>ORD1088</t>
  </si>
  <si>
    <t>ORD1089</t>
  </si>
  <si>
    <t>ORD1090</t>
  </si>
  <si>
    <t>ORD1091</t>
  </si>
  <si>
    <t>ORD1092</t>
  </si>
  <si>
    <t>ORD1093</t>
  </si>
  <si>
    <t>ORD1094</t>
  </si>
  <si>
    <t>ORD1095</t>
  </si>
  <si>
    <t>ORD1096</t>
  </si>
  <si>
    <t>ORD1097</t>
  </si>
  <si>
    <t>ORD1098</t>
  </si>
  <si>
    <t>ORD1099</t>
  </si>
  <si>
    <t>ORD1100</t>
  </si>
  <si>
    <t>ORD1101</t>
  </si>
  <si>
    <t>ORD1102</t>
  </si>
  <si>
    <t>ORD1103</t>
  </si>
  <si>
    <t>ORD1104</t>
  </si>
  <si>
    <t>ORD1105</t>
  </si>
  <si>
    <t>ORD1106</t>
  </si>
  <si>
    <t>ORD1107</t>
  </si>
  <si>
    <t>ORD1108</t>
  </si>
  <si>
    <t>ORD1109</t>
  </si>
  <si>
    <t>ORD1110</t>
  </si>
  <si>
    <t>ORD1111</t>
  </si>
  <si>
    <t>ORD1112</t>
  </si>
  <si>
    <t>ORD1113</t>
  </si>
  <si>
    <t>ORD1114</t>
  </si>
  <si>
    <t>ORD1115</t>
  </si>
  <si>
    <t>ORD1116</t>
  </si>
  <si>
    <t>ORD1117</t>
  </si>
  <si>
    <t>ORD1118</t>
  </si>
  <si>
    <t>ORD1119</t>
  </si>
  <si>
    <t>ORD1120</t>
  </si>
  <si>
    <t>ORD1121</t>
  </si>
  <si>
    <t>ORD1122</t>
  </si>
  <si>
    <t>ORD1123</t>
  </si>
  <si>
    <t>ORD1124</t>
  </si>
  <si>
    <t>ORD1125</t>
  </si>
  <si>
    <t>ORD1126</t>
  </si>
  <si>
    <t>ORD1127</t>
  </si>
  <si>
    <t>ORD1128</t>
  </si>
  <si>
    <t>ORD1129</t>
  </si>
  <si>
    <t>ORD1130</t>
  </si>
  <si>
    <t>ORD1131</t>
  </si>
  <si>
    <t>ORD1132</t>
  </si>
  <si>
    <t>ORD1133</t>
  </si>
  <si>
    <t>ORD1134</t>
  </si>
  <si>
    <t>ORD1135</t>
  </si>
  <si>
    <t>ORD1136</t>
  </si>
  <si>
    <t>ORD1137</t>
  </si>
  <si>
    <t>ORD1138</t>
  </si>
  <si>
    <t>ORD1139</t>
  </si>
  <si>
    <t>ORD1140</t>
  </si>
  <si>
    <t>ORD1141</t>
  </si>
  <si>
    <t>ORD1142</t>
  </si>
  <si>
    <t>ORD1143</t>
  </si>
  <si>
    <t>ORD1144</t>
  </si>
  <si>
    <t>ORD1145</t>
  </si>
  <si>
    <t>ORD1146</t>
  </si>
  <si>
    <t>ORD1147</t>
  </si>
  <si>
    <t>ORD1148</t>
  </si>
  <si>
    <t>ORD1149</t>
  </si>
  <si>
    <t>ORD1150</t>
  </si>
  <si>
    <t>ORD1151</t>
  </si>
  <si>
    <t>ORD1152</t>
  </si>
  <si>
    <t>ORD1153</t>
  </si>
  <si>
    <t>ORD1154</t>
  </si>
  <si>
    <t>ORD1155</t>
  </si>
  <si>
    <t>ORD1156</t>
  </si>
  <si>
    <t>ORD1157</t>
  </si>
  <si>
    <t>ORD1158</t>
  </si>
  <si>
    <t>ORD1159</t>
  </si>
  <si>
    <t>ORD1160</t>
  </si>
  <si>
    <t>ORD1161</t>
  </si>
  <si>
    <t>ORD1162</t>
  </si>
  <si>
    <t>ORD1163</t>
  </si>
  <si>
    <t>ORD1164</t>
  </si>
  <si>
    <t>ORD1165</t>
  </si>
  <si>
    <t>ORD1166</t>
  </si>
  <si>
    <t>ORD1167</t>
  </si>
  <si>
    <t>ORD1168</t>
  </si>
  <si>
    <t>ORD1169</t>
  </si>
  <si>
    <t>ORD1170</t>
  </si>
  <si>
    <t>ORD1171</t>
  </si>
  <si>
    <t>ORD1172</t>
  </si>
  <si>
    <t>ORD1173</t>
  </si>
  <si>
    <t>ORD1174</t>
  </si>
  <si>
    <t>ORD1175</t>
  </si>
  <si>
    <t>ORD1176</t>
  </si>
  <si>
    <t>ORD1177</t>
  </si>
  <si>
    <t>ORD1178</t>
  </si>
  <si>
    <t>ORD1179</t>
  </si>
  <si>
    <t>ORD1180</t>
  </si>
  <si>
    <t>ORD1181</t>
  </si>
  <si>
    <t>ORD1182</t>
  </si>
  <si>
    <t>ORD1183</t>
  </si>
  <si>
    <t>ORD1184</t>
  </si>
  <si>
    <t>ORD1185</t>
  </si>
  <si>
    <t>ORD1186</t>
  </si>
  <si>
    <t>ORD1187</t>
  </si>
  <si>
    <t>ORD1188</t>
  </si>
  <si>
    <t>ORD1189</t>
  </si>
  <si>
    <t>ORD1190</t>
  </si>
  <si>
    <t>ORD1191</t>
  </si>
  <si>
    <t>ORD1192</t>
  </si>
  <si>
    <t>ORD1193</t>
  </si>
  <si>
    <t>ORD1194</t>
  </si>
  <si>
    <t>ORD1195</t>
  </si>
  <si>
    <t>ORD1196</t>
  </si>
  <si>
    <t>ORD1197</t>
  </si>
  <si>
    <t>ORD1198</t>
  </si>
  <si>
    <t>ORD1199</t>
  </si>
  <si>
    <t>ORD1200</t>
  </si>
  <si>
    <t>ORD1201</t>
  </si>
  <si>
    <t>ORD1202</t>
  </si>
  <si>
    <t>ORD1203</t>
  </si>
  <si>
    <t>ORD1204</t>
  </si>
  <si>
    <t>ORD1205</t>
  </si>
  <si>
    <t>ORD1206</t>
  </si>
  <si>
    <t>ORD1207</t>
  </si>
  <si>
    <t>ORD1208</t>
  </si>
  <si>
    <t>ORD1209</t>
  </si>
  <si>
    <t>ORD1210</t>
  </si>
  <si>
    <t>ORD1211</t>
  </si>
  <si>
    <t>ORD1212</t>
  </si>
  <si>
    <t>ORD1213</t>
  </si>
  <si>
    <t>ORD1214</t>
  </si>
  <si>
    <t>ORD1215</t>
  </si>
  <si>
    <t>ORD1216</t>
  </si>
  <si>
    <t>ORD1217</t>
  </si>
  <si>
    <t>ORD1218</t>
  </si>
  <si>
    <t>ORD1219</t>
  </si>
  <si>
    <t>ORD1220</t>
  </si>
  <si>
    <t>ORD1221</t>
  </si>
  <si>
    <t>ORD1222</t>
  </si>
  <si>
    <t>ORD1223</t>
  </si>
  <si>
    <t>ORD1224</t>
  </si>
  <si>
    <t>ORD1225</t>
  </si>
  <si>
    <t>ORD1226</t>
  </si>
  <si>
    <t>ORD1227</t>
  </si>
  <si>
    <t>ORD1228</t>
  </si>
  <si>
    <t>ORD1229</t>
  </si>
  <si>
    <t>ORD1230</t>
  </si>
  <si>
    <t>ORD1231</t>
  </si>
  <si>
    <t>ORD1232</t>
  </si>
  <si>
    <t>ORD1233</t>
  </si>
  <si>
    <t>ORD1234</t>
  </si>
  <si>
    <t>ORD1235</t>
  </si>
  <si>
    <t>ORD1236</t>
  </si>
  <si>
    <t>ORD1237</t>
  </si>
  <si>
    <t>ORD1238</t>
  </si>
  <si>
    <t>ORD1239</t>
  </si>
  <si>
    <t>ORD1240</t>
  </si>
  <si>
    <t>ORD1241</t>
  </si>
  <si>
    <t>ORD1242</t>
  </si>
  <si>
    <t>ORD1243</t>
  </si>
  <si>
    <t>ORD1244</t>
  </si>
  <si>
    <t>ORD1245</t>
  </si>
  <si>
    <t>ORD1246</t>
  </si>
  <si>
    <t>ORD1247</t>
  </si>
  <si>
    <t>ORD1248</t>
  </si>
  <si>
    <t>ORD1249</t>
  </si>
  <si>
    <t>ORD1250</t>
  </si>
  <si>
    <t>ORD1251</t>
  </si>
  <si>
    <t>ORD1252</t>
  </si>
  <si>
    <t>ORD1253</t>
  </si>
  <si>
    <t>ORD1254</t>
  </si>
  <si>
    <t>ORD1255</t>
  </si>
  <si>
    <t>ORD1256</t>
  </si>
  <si>
    <t>ORD1257</t>
  </si>
  <si>
    <t>ORD1258</t>
  </si>
  <si>
    <t>ORD1259</t>
  </si>
  <si>
    <t>ORD1260</t>
  </si>
  <si>
    <t>ORD1261</t>
  </si>
  <si>
    <t>ORD1262</t>
  </si>
  <si>
    <t>ORD1263</t>
  </si>
  <si>
    <t>ORD1264</t>
  </si>
  <si>
    <t>ORD1265</t>
  </si>
  <si>
    <t>ORD1266</t>
  </si>
  <si>
    <t>ORD1267</t>
  </si>
  <si>
    <t>ORD1268</t>
  </si>
  <si>
    <t>ORD1269</t>
  </si>
  <si>
    <t>ORD1270</t>
  </si>
  <si>
    <t>ORD1271</t>
  </si>
  <si>
    <t>ORD1272</t>
  </si>
  <si>
    <t>ORD1273</t>
  </si>
  <si>
    <t>ORD1274</t>
  </si>
  <si>
    <t>ORD1275</t>
  </si>
  <si>
    <t>ORD1276</t>
  </si>
  <si>
    <t>ORD1277</t>
  </si>
  <si>
    <t>ORD1278</t>
  </si>
  <si>
    <t>ORD1279</t>
  </si>
  <si>
    <t>ORD1280</t>
  </si>
  <si>
    <t>ORD1281</t>
  </si>
  <si>
    <t>ORD1282</t>
  </si>
  <si>
    <t>ORD1283</t>
  </si>
  <si>
    <t>ORD1284</t>
  </si>
  <si>
    <t>ORD1285</t>
  </si>
  <si>
    <t>ORD1286</t>
  </si>
  <si>
    <t>ORD1287</t>
  </si>
  <si>
    <t>ORD1288</t>
  </si>
  <si>
    <t>ORD1289</t>
  </si>
  <si>
    <t>ORD1290</t>
  </si>
  <si>
    <t>ORD1291</t>
  </si>
  <si>
    <t>ORD1292</t>
  </si>
  <si>
    <t>ORD1293</t>
  </si>
  <si>
    <t>ORD1294</t>
  </si>
  <si>
    <t>ORD1295</t>
  </si>
  <si>
    <t>ORD1296</t>
  </si>
  <si>
    <t>ORD1297</t>
  </si>
  <si>
    <t>ORD1298</t>
  </si>
  <si>
    <t>ORD1299</t>
  </si>
  <si>
    <t>ORD1300</t>
  </si>
  <si>
    <t>ORD1301</t>
  </si>
  <si>
    <t>ORD1302</t>
  </si>
  <si>
    <t>ORD1303</t>
  </si>
  <si>
    <t>ORD1304</t>
  </si>
  <si>
    <t>ORD1305</t>
  </si>
  <si>
    <t>ORD1306</t>
  </si>
  <si>
    <t>ORD1307</t>
  </si>
  <si>
    <t>ORD1308</t>
  </si>
  <si>
    <t>ORD1309</t>
  </si>
  <si>
    <t>ORD1310</t>
  </si>
  <si>
    <t>ORD1311</t>
  </si>
  <si>
    <t>ORD1312</t>
  </si>
  <si>
    <t>ORD1313</t>
  </si>
  <si>
    <t>ORD1314</t>
  </si>
  <si>
    <t>ORD1315</t>
  </si>
  <si>
    <t>ORD1316</t>
  </si>
  <si>
    <t>ORD1317</t>
  </si>
  <si>
    <t>ORD1318</t>
  </si>
  <si>
    <t>ORD1319</t>
  </si>
  <si>
    <t>ORD1320</t>
  </si>
  <si>
    <t>ORD1321</t>
  </si>
  <si>
    <t>ORD1322</t>
  </si>
  <si>
    <t>ORD1323</t>
  </si>
  <si>
    <t>ORD1324</t>
  </si>
  <si>
    <t>ORD1325</t>
  </si>
  <si>
    <t>ORD1326</t>
  </si>
  <si>
    <t>ORD1327</t>
  </si>
  <si>
    <t>ORD1328</t>
  </si>
  <si>
    <t>ORD1329</t>
  </si>
  <si>
    <t>ORD1330</t>
  </si>
  <si>
    <t>ORD1331</t>
  </si>
  <si>
    <t>ORD1332</t>
  </si>
  <si>
    <t>ORD1333</t>
  </si>
  <si>
    <t>ORD1334</t>
  </si>
  <si>
    <t>ORD1335</t>
  </si>
  <si>
    <t>ORD1336</t>
  </si>
  <si>
    <t>ORD1337</t>
  </si>
  <si>
    <t>ORD1338</t>
  </si>
  <si>
    <t>ORD1339</t>
  </si>
  <si>
    <t>ORD1340</t>
  </si>
  <si>
    <t>ORD1341</t>
  </si>
  <si>
    <t>ORD1342</t>
  </si>
  <si>
    <t>ORD1343</t>
  </si>
  <si>
    <t>ORD1344</t>
  </si>
  <si>
    <t>ORD1345</t>
  </si>
  <si>
    <t>ORD1346</t>
  </si>
  <si>
    <t>ORD1347</t>
  </si>
  <si>
    <t>ORD1348</t>
  </si>
  <si>
    <t>ORD1349</t>
  </si>
  <si>
    <t>ORD1350</t>
  </si>
  <si>
    <t>ORD1351</t>
  </si>
  <si>
    <t>ORD1352</t>
  </si>
  <si>
    <t>ORD1353</t>
  </si>
  <si>
    <t>ORD1354</t>
  </si>
  <si>
    <t>ORD1355</t>
  </si>
  <si>
    <t>ORD1356</t>
  </si>
  <si>
    <t>ORD1357</t>
  </si>
  <si>
    <t>ORD1358</t>
  </si>
  <si>
    <t>ORD1359</t>
  </si>
  <si>
    <t>ORD1360</t>
  </si>
  <si>
    <t>ORD1361</t>
  </si>
  <si>
    <t>ORD1362</t>
  </si>
  <si>
    <t>ORD1363</t>
  </si>
  <si>
    <t>ORD1364</t>
  </si>
  <si>
    <t>ORD1365</t>
  </si>
  <si>
    <t>ORD1366</t>
  </si>
  <si>
    <t>ORD1367</t>
  </si>
  <si>
    <t>ORD1368</t>
  </si>
  <si>
    <t>ORD1369</t>
  </si>
  <si>
    <t>ORD1370</t>
  </si>
  <si>
    <t>ORD1371</t>
  </si>
  <si>
    <t>ORD1372</t>
  </si>
  <si>
    <t>ORD1373</t>
  </si>
  <si>
    <t>ORD1374</t>
  </si>
  <si>
    <t>ORD1375</t>
  </si>
  <si>
    <t>ORD1376</t>
  </si>
  <si>
    <t>ORD1377</t>
  </si>
  <si>
    <t>ORD1378</t>
  </si>
  <si>
    <t>ORD1379</t>
  </si>
  <si>
    <t>ORD1380</t>
  </si>
  <si>
    <t>ORD1381</t>
  </si>
  <si>
    <t>ORD1382</t>
  </si>
  <si>
    <t>ORD1383</t>
  </si>
  <si>
    <t>ORD1384</t>
  </si>
  <si>
    <t>ORD1385</t>
  </si>
  <si>
    <t>ORD1386</t>
  </si>
  <si>
    <t>ORD1387</t>
  </si>
  <si>
    <t>ORD1388</t>
  </si>
  <si>
    <t>ORD1389</t>
  </si>
  <si>
    <t>ORD1390</t>
  </si>
  <si>
    <t>ORD1391</t>
  </si>
  <si>
    <t>ORD1392</t>
  </si>
  <si>
    <t>ORD1393</t>
  </si>
  <si>
    <t>ORD1394</t>
  </si>
  <si>
    <t>ORD1395</t>
  </si>
  <si>
    <t>ORD1396</t>
  </si>
  <si>
    <t>ORD1397</t>
  </si>
  <si>
    <t>ORD1398</t>
  </si>
  <si>
    <t>ORD1399</t>
  </si>
  <si>
    <t>ORD1400</t>
  </si>
  <si>
    <t>ORD1401</t>
  </si>
  <si>
    <t>ORD1402</t>
  </si>
  <si>
    <t>ORD1403</t>
  </si>
  <si>
    <t>ORD1404</t>
  </si>
  <si>
    <t>ORD1405</t>
  </si>
  <si>
    <t>ORD1406</t>
  </si>
  <si>
    <t>ORD1407</t>
  </si>
  <si>
    <t>ORD1408</t>
  </si>
  <si>
    <t>ORD1409</t>
  </si>
  <si>
    <t>ORD1410</t>
  </si>
  <si>
    <t>ORD1411</t>
  </si>
  <si>
    <t>ORD1412</t>
  </si>
  <si>
    <t>ORD1413</t>
  </si>
  <si>
    <t>ORD1414</t>
  </si>
  <si>
    <t>ORD1415</t>
  </si>
  <si>
    <t>ORD1416</t>
  </si>
  <si>
    <t>ORD1417</t>
  </si>
  <si>
    <t>ORD1418</t>
  </si>
  <si>
    <t>ORD1419</t>
  </si>
  <si>
    <t>ORD1420</t>
  </si>
  <si>
    <t>ORD1421</t>
  </si>
  <si>
    <t>ORD1422</t>
  </si>
  <si>
    <t>ORD1423</t>
  </si>
  <si>
    <t>ORD1424</t>
  </si>
  <si>
    <t>ORD1425</t>
  </si>
  <si>
    <t>ORD1426</t>
  </si>
  <si>
    <t>ORD1427</t>
  </si>
  <si>
    <t>ORD1428</t>
  </si>
  <si>
    <t>ORD1429</t>
  </si>
  <si>
    <t>ORD1430</t>
  </si>
  <si>
    <t>ORD1431</t>
  </si>
  <si>
    <t>ORD1432</t>
  </si>
  <si>
    <t>ORD1433</t>
  </si>
  <si>
    <t>ORD1434</t>
  </si>
  <si>
    <t>ORD1435</t>
  </si>
  <si>
    <t>ORD1436</t>
  </si>
  <si>
    <t>ORD1437</t>
  </si>
  <si>
    <t>ORD1438</t>
  </si>
  <si>
    <t>ORD1439</t>
  </si>
  <si>
    <t>ORD1440</t>
  </si>
  <si>
    <t>ORD1441</t>
  </si>
  <si>
    <t>ORD1442</t>
  </si>
  <si>
    <t>ORD1443</t>
  </si>
  <si>
    <t>ORD1444</t>
  </si>
  <si>
    <t>ORD1445</t>
  </si>
  <si>
    <t>ORD1446</t>
  </si>
  <si>
    <t>ORD1447</t>
  </si>
  <si>
    <t>ORD1448</t>
  </si>
  <si>
    <t>ORD1449</t>
  </si>
  <si>
    <t>ORD1450</t>
  </si>
  <si>
    <t>ORD1451</t>
  </si>
  <si>
    <t>ORD1452</t>
  </si>
  <si>
    <t>ORD1453</t>
  </si>
  <si>
    <t>ORD1454</t>
  </si>
  <si>
    <t>ORD1455</t>
  </si>
  <si>
    <t>ORD1456</t>
  </si>
  <si>
    <t>ORD1457</t>
  </si>
  <si>
    <t>ORD1458</t>
  </si>
  <si>
    <t>ORD1459</t>
  </si>
  <si>
    <t>ORD1460</t>
  </si>
  <si>
    <t>ORD1461</t>
  </si>
  <si>
    <t>ORD1462</t>
  </si>
  <si>
    <t>ORD1463</t>
  </si>
  <si>
    <t>ORD1464</t>
  </si>
  <si>
    <t>ORD1465</t>
  </si>
  <si>
    <t>ORD1466</t>
  </si>
  <si>
    <t>ORD1467</t>
  </si>
  <si>
    <t>ORD1468</t>
  </si>
  <si>
    <t>ORD1469</t>
  </si>
  <si>
    <t>ORD1470</t>
  </si>
  <si>
    <t>ORD1471</t>
  </si>
  <si>
    <t>ORD1472</t>
  </si>
  <si>
    <t>ORD1473</t>
  </si>
  <si>
    <t>ORD1474</t>
  </si>
  <si>
    <t>ORD1475</t>
  </si>
  <si>
    <t>ORD1476</t>
  </si>
  <si>
    <t>ORD1477</t>
  </si>
  <si>
    <t>ORD1478</t>
  </si>
  <si>
    <t>ORD1479</t>
  </si>
  <si>
    <t>ORD1480</t>
  </si>
  <si>
    <t>ORD1481</t>
  </si>
  <si>
    <t>ORD1482</t>
  </si>
  <si>
    <t>ORD1483</t>
  </si>
  <si>
    <t>ORD1484</t>
  </si>
  <si>
    <t>ORD1485</t>
  </si>
  <si>
    <t>ORD1486</t>
  </si>
  <si>
    <t>ORD1487</t>
  </si>
  <si>
    <t>ORD1488</t>
  </si>
  <si>
    <t>ORD1489</t>
  </si>
  <si>
    <t>ORD1490</t>
  </si>
  <si>
    <t>ORD1491</t>
  </si>
  <si>
    <t>ORD1492</t>
  </si>
  <si>
    <t>ORD1493</t>
  </si>
  <si>
    <t>ORD1494</t>
  </si>
  <si>
    <t>ORD1495</t>
  </si>
  <si>
    <t>ORD1496</t>
  </si>
  <si>
    <t>ORD1497</t>
  </si>
  <si>
    <t>ORD1498</t>
  </si>
  <si>
    <t>ORD1499</t>
  </si>
  <si>
    <t>ORD1500</t>
  </si>
  <si>
    <t>ORD1501</t>
  </si>
  <si>
    <t>ORD1502</t>
  </si>
  <si>
    <t>ORD1503</t>
  </si>
  <si>
    <t>ORD1504</t>
  </si>
  <si>
    <t>ORD1505</t>
  </si>
  <si>
    <t>ORD1506</t>
  </si>
  <si>
    <t>ORD1507</t>
  </si>
  <si>
    <t>ORD1508</t>
  </si>
  <si>
    <t>ORD1509</t>
  </si>
  <si>
    <t>ORD1510</t>
  </si>
  <si>
    <t>ORD1511</t>
  </si>
  <si>
    <t>ORD1512</t>
  </si>
  <si>
    <t>ORD1513</t>
  </si>
  <si>
    <t>ORD1514</t>
  </si>
  <si>
    <t>ORD1515</t>
  </si>
  <si>
    <t>ORD1516</t>
  </si>
  <si>
    <t>ORD1517</t>
  </si>
  <si>
    <t>ORD1518</t>
  </si>
  <si>
    <t>ORD1519</t>
  </si>
  <si>
    <t>ORD1520</t>
  </si>
  <si>
    <t>ORD1521</t>
  </si>
  <si>
    <t>ORD1522</t>
  </si>
  <si>
    <t>ORD1523</t>
  </si>
  <si>
    <t>ORD1524</t>
  </si>
  <si>
    <t>ORD1525</t>
  </si>
  <si>
    <t>ORD1526</t>
  </si>
  <si>
    <t>ORD1527</t>
  </si>
  <si>
    <t>ORD1528</t>
  </si>
  <si>
    <t>ORD1529</t>
  </si>
  <si>
    <t>ORD1530</t>
  </si>
  <si>
    <t>ORD1531</t>
  </si>
  <si>
    <t>ORD1532</t>
  </si>
  <si>
    <t>ORD1533</t>
  </si>
  <si>
    <t>ORD1534</t>
  </si>
  <si>
    <t>ORD1535</t>
  </si>
  <si>
    <t>ORD1536</t>
  </si>
  <si>
    <t>ORD1537</t>
  </si>
  <si>
    <t>ORD1538</t>
  </si>
  <si>
    <t>ORD1539</t>
  </si>
  <si>
    <t>ORD1540</t>
  </si>
  <si>
    <t>ORD1541</t>
  </si>
  <si>
    <t>ORD1542</t>
  </si>
  <si>
    <t>ORD1543</t>
  </si>
  <si>
    <t>ORD1544</t>
  </si>
  <si>
    <t>ORD1545</t>
  </si>
  <si>
    <t>ORD1546</t>
  </si>
  <si>
    <t>ORD1547</t>
  </si>
  <si>
    <t>ORD1548</t>
  </si>
  <si>
    <t>ORD1549</t>
  </si>
  <si>
    <t>ORD1550</t>
  </si>
  <si>
    <t>ORD1551</t>
  </si>
  <si>
    <t>ORD1552</t>
  </si>
  <si>
    <t>ORD1553</t>
  </si>
  <si>
    <t>ORD1554</t>
  </si>
  <si>
    <t>ORD1555</t>
  </si>
  <si>
    <t>ORD1556</t>
  </si>
  <si>
    <t>ORD1557</t>
  </si>
  <si>
    <t>ORD1558</t>
  </si>
  <si>
    <t>ORD1559</t>
  </si>
  <si>
    <t>ORD1560</t>
  </si>
  <si>
    <t>ORD1561</t>
  </si>
  <si>
    <t>ORD1562</t>
  </si>
  <si>
    <t>ORD1563</t>
  </si>
  <si>
    <t>ORD1564</t>
  </si>
  <si>
    <t>ORD1565</t>
  </si>
  <si>
    <t>ORD1566</t>
  </si>
  <si>
    <t>ORD1567</t>
  </si>
  <si>
    <t>ORD1568</t>
  </si>
  <si>
    <t>ORD1569</t>
  </si>
  <si>
    <t>ORD1570</t>
  </si>
  <si>
    <t>ORD1571</t>
  </si>
  <si>
    <t>ORD1572</t>
  </si>
  <si>
    <t>ORD1573</t>
  </si>
  <si>
    <t>ORD1574</t>
  </si>
  <si>
    <t>ORD1575</t>
  </si>
  <si>
    <t>ORD1576</t>
  </si>
  <si>
    <t>ORD1577</t>
  </si>
  <si>
    <t>ORD1578</t>
  </si>
  <si>
    <t>ORD1579</t>
  </si>
  <si>
    <t>ORD1580</t>
  </si>
  <si>
    <t>ORD1581</t>
  </si>
  <si>
    <t>ORD1582</t>
  </si>
  <si>
    <t>ORD1583</t>
  </si>
  <si>
    <t>ORD1584</t>
  </si>
  <si>
    <t>ORD1585</t>
  </si>
  <si>
    <t>ORD1586</t>
  </si>
  <si>
    <t>ORD1587</t>
  </si>
  <si>
    <t>ORD1588</t>
  </si>
  <si>
    <t>ORD1589</t>
  </si>
  <si>
    <t>ORD1590</t>
  </si>
  <si>
    <t>ORD1591</t>
  </si>
  <si>
    <t>ORD1592</t>
  </si>
  <si>
    <t>ORD1593</t>
  </si>
  <si>
    <t>ORD1594</t>
  </si>
  <si>
    <t>ORD1595</t>
  </si>
  <si>
    <t>ORD1596</t>
  </si>
  <si>
    <t>ORD1597</t>
  </si>
  <si>
    <t>ORD1598</t>
  </si>
  <si>
    <t>ORD1599</t>
  </si>
  <si>
    <t>ORD1600</t>
  </si>
  <si>
    <t>ORD1601</t>
  </si>
  <si>
    <t>ORD1602</t>
  </si>
  <si>
    <t>ORD1603</t>
  </si>
  <si>
    <t>ORD1604</t>
  </si>
  <si>
    <t>ORD1605</t>
  </si>
  <si>
    <t>ORD1606</t>
  </si>
  <si>
    <t>ORD1607</t>
  </si>
  <si>
    <t>ORD1608</t>
  </si>
  <si>
    <t>ORD1609</t>
  </si>
  <si>
    <t>ORD1610</t>
  </si>
  <si>
    <t>ORD1611</t>
  </si>
  <si>
    <t>ORD1612</t>
  </si>
  <si>
    <t>ORD1613</t>
  </si>
  <si>
    <t>ORD1614</t>
  </si>
  <si>
    <t>ORD1615</t>
  </si>
  <si>
    <t>ORD1616</t>
  </si>
  <si>
    <t>ORD1617</t>
  </si>
  <si>
    <t>ORD1618</t>
  </si>
  <si>
    <t>ORD1619</t>
  </si>
  <si>
    <t>ORD1620</t>
  </si>
  <si>
    <t>ORD1621</t>
  </si>
  <si>
    <t>ORD1622</t>
  </si>
  <si>
    <t>ORD1623</t>
  </si>
  <si>
    <t>ORD1624</t>
  </si>
  <si>
    <t>ORD1625</t>
  </si>
  <si>
    <t>ORD1626</t>
  </si>
  <si>
    <t>ORD1627</t>
  </si>
  <si>
    <t>ORD1628</t>
  </si>
  <si>
    <t>ORD1629</t>
  </si>
  <si>
    <t>ORD1630</t>
  </si>
  <si>
    <t>ORD1631</t>
  </si>
  <si>
    <t>ORD1632</t>
  </si>
  <si>
    <t>ORD1633</t>
  </si>
  <si>
    <t>ORD1634</t>
  </si>
  <si>
    <t>ORD1635</t>
  </si>
  <si>
    <t>ORD1636</t>
  </si>
  <si>
    <t>ORD1637</t>
  </si>
  <si>
    <t>ORD1638</t>
  </si>
  <si>
    <t>ORD1639</t>
  </si>
  <si>
    <t>ORD1640</t>
  </si>
  <si>
    <t>ORD1641</t>
  </si>
  <si>
    <t>ORD1642</t>
  </si>
  <si>
    <t>ORD1643</t>
  </si>
  <si>
    <t>ORD1644</t>
  </si>
  <si>
    <t>ORD1645</t>
  </si>
  <si>
    <t>ORD1646</t>
  </si>
  <si>
    <t>ORD1647</t>
  </si>
  <si>
    <t>ORD1648</t>
  </si>
  <si>
    <t>ORD1649</t>
  </si>
  <si>
    <t>ORD1650</t>
  </si>
  <si>
    <t>ORD1651</t>
  </si>
  <si>
    <t>ORD1652</t>
  </si>
  <si>
    <t>ORD1653</t>
  </si>
  <si>
    <t>ORD1654</t>
  </si>
  <si>
    <t>ORD1655</t>
  </si>
  <si>
    <t>ORD1656</t>
  </si>
  <si>
    <t>ORD1657</t>
  </si>
  <si>
    <t>ORD1658</t>
  </si>
  <si>
    <t>ORD1659</t>
  </si>
  <si>
    <t>ORD1660</t>
  </si>
  <si>
    <t>ORD1661</t>
  </si>
  <si>
    <t>ORD1662</t>
  </si>
  <si>
    <t>ORD1663</t>
  </si>
  <si>
    <t>ORD1664</t>
  </si>
  <si>
    <t>ORD1665</t>
  </si>
  <si>
    <t>ORD1666</t>
  </si>
  <si>
    <t>ORD1667</t>
  </si>
  <si>
    <t>ORD1668</t>
  </si>
  <si>
    <t>ORD1669</t>
  </si>
  <si>
    <t>ORD1670</t>
  </si>
  <si>
    <t>ORD1671</t>
  </si>
  <si>
    <t>ORD1672</t>
  </si>
  <si>
    <t>ORD1673</t>
  </si>
  <si>
    <t>ORD1674</t>
  </si>
  <si>
    <t>ORD1675</t>
  </si>
  <si>
    <t>ORD1676</t>
  </si>
  <si>
    <t>ORD1677</t>
  </si>
  <si>
    <t>ORD1678</t>
  </si>
  <si>
    <t>ORD1679</t>
  </si>
  <si>
    <t>ORD1680</t>
  </si>
  <si>
    <t>ORD1681</t>
  </si>
  <si>
    <t>ORD1682</t>
  </si>
  <si>
    <t>ORD1683</t>
  </si>
  <si>
    <t>ORD1684</t>
  </si>
  <si>
    <t>ORD1685</t>
  </si>
  <si>
    <t>ORD1686</t>
  </si>
  <si>
    <t>ORD1687</t>
  </si>
  <si>
    <t>ORD1688</t>
  </si>
  <si>
    <t>ORD1689</t>
  </si>
  <si>
    <t>ORD1690</t>
  </si>
  <si>
    <t>ORD1691</t>
  </si>
  <si>
    <t>ORD1692</t>
  </si>
  <si>
    <t>ORD1693</t>
  </si>
  <si>
    <t>ORD1694</t>
  </si>
  <si>
    <t>ORD1695</t>
  </si>
  <si>
    <t>ORD1696</t>
  </si>
  <si>
    <t>ORD1697</t>
  </si>
  <si>
    <t>ORD1698</t>
  </si>
  <si>
    <t>ORD1699</t>
  </si>
  <si>
    <t>ORD1700</t>
  </si>
  <si>
    <t>ORD1701</t>
  </si>
  <si>
    <t>ORD1702</t>
  </si>
  <si>
    <t>ORD1703</t>
  </si>
  <si>
    <t>ORD1704</t>
  </si>
  <si>
    <t>ORD1705</t>
  </si>
  <si>
    <t>ORD1706</t>
  </si>
  <si>
    <t>ORD1707</t>
  </si>
  <si>
    <t>ORD1708</t>
  </si>
  <si>
    <t>ORD1709</t>
  </si>
  <si>
    <t>ORD1710</t>
  </si>
  <si>
    <t>ORD1711</t>
  </si>
  <si>
    <t>ORD1712</t>
  </si>
  <si>
    <t>ORD1713</t>
  </si>
  <si>
    <t>ORD1714</t>
  </si>
  <si>
    <t>ORD1715</t>
  </si>
  <si>
    <t>ORD1716</t>
  </si>
  <si>
    <t>ORD1717</t>
  </si>
  <si>
    <t>ORD1718</t>
  </si>
  <si>
    <t>ORD1719</t>
  </si>
  <si>
    <t>ORD1720</t>
  </si>
  <si>
    <t>ORD1721</t>
  </si>
  <si>
    <t>ORD1722</t>
  </si>
  <si>
    <t>ORD1723</t>
  </si>
  <si>
    <t>ORD1724</t>
  </si>
  <si>
    <t>ORD1725</t>
  </si>
  <si>
    <t>ORD1726</t>
  </si>
  <si>
    <t>ORD1727</t>
  </si>
  <si>
    <t>ORD1728</t>
  </si>
  <si>
    <t>ORD1729</t>
  </si>
  <si>
    <t>ORD1730</t>
  </si>
  <si>
    <t>ORD1731</t>
  </si>
  <si>
    <t>ORD1732</t>
  </si>
  <si>
    <t>ORD1733</t>
  </si>
  <si>
    <t>ORD1734</t>
  </si>
  <si>
    <t>ORD1735</t>
  </si>
  <si>
    <t>ORD1736</t>
  </si>
  <si>
    <t>ORD1737</t>
  </si>
  <si>
    <t>ORD1738</t>
  </si>
  <si>
    <t>ORD1739</t>
  </si>
  <si>
    <t>ORD1740</t>
  </si>
  <si>
    <t>ORD1741</t>
  </si>
  <si>
    <t>ORD1742</t>
  </si>
  <si>
    <t>ORD1743</t>
  </si>
  <si>
    <t>ORD1744</t>
  </si>
  <si>
    <t>ORD1745</t>
  </si>
  <si>
    <t>ORD1746</t>
  </si>
  <si>
    <t>ORD1747</t>
  </si>
  <si>
    <t>ORD1748</t>
  </si>
  <si>
    <t>ORD1749</t>
  </si>
  <si>
    <t>ORD1750</t>
  </si>
  <si>
    <t>ORD1751</t>
  </si>
  <si>
    <t>ORD1752</t>
  </si>
  <si>
    <t>ORD1753</t>
  </si>
  <si>
    <t>ORD1754</t>
  </si>
  <si>
    <t>ORD1755</t>
  </si>
  <si>
    <t>ORD1756</t>
  </si>
  <si>
    <t>ORD1757</t>
  </si>
  <si>
    <t>ORD1758</t>
  </si>
  <si>
    <t>ORD1759</t>
  </si>
  <si>
    <t>ORD1760</t>
  </si>
  <si>
    <t>ORD1761</t>
  </si>
  <si>
    <t>ORD1762</t>
  </si>
  <si>
    <t>ORD1763</t>
  </si>
  <si>
    <t>ORD1764</t>
  </si>
  <si>
    <t>ORD1765</t>
  </si>
  <si>
    <t>ORD1766</t>
  </si>
  <si>
    <t>ORD1767</t>
  </si>
  <si>
    <t>ORD1768</t>
  </si>
  <si>
    <t>ORD1769</t>
  </si>
  <si>
    <t>ORD1770</t>
  </si>
  <si>
    <t>ORD1771</t>
  </si>
  <si>
    <t>ORD1772</t>
  </si>
  <si>
    <t>ORD1773</t>
  </si>
  <si>
    <t>ORD1774</t>
  </si>
  <si>
    <t>ORD1775</t>
  </si>
  <si>
    <t>ORD1776</t>
  </si>
  <si>
    <t>ORD1777</t>
  </si>
  <si>
    <t>ORD1778</t>
  </si>
  <si>
    <t>ORD1779</t>
  </si>
  <si>
    <t>ORD1780</t>
  </si>
  <si>
    <t>ORD1781</t>
  </si>
  <si>
    <t>ORD1782</t>
  </si>
  <si>
    <t>ORD1783</t>
  </si>
  <si>
    <t>ORD1784</t>
  </si>
  <si>
    <t>ORD1785</t>
  </si>
  <si>
    <t>ORD1786</t>
  </si>
  <si>
    <t>ORD1787</t>
  </si>
  <si>
    <t>ORD1788</t>
  </si>
  <si>
    <t>ORD1789</t>
  </si>
  <si>
    <t>ORD1790</t>
  </si>
  <si>
    <t>ORD1791</t>
  </si>
  <si>
    <t>ORD1792</t>
  </si>
  <si>
    <t>ORD1793</t>
  </si>
  <si>
    <t>ORD1794</t>
  </si>
  <si>
    <t>ORD1795</t>
  </si>
  <si>
    <t>ORD1796</t>
  </si>
  <si>
    <t>ORD1797</t>
  </si>
  <si>
    <t>ORD1798</t>
  </si>
  <si>
    <t>ORD1799</t>
  </si>
  <si>
    <t>ORD1800</t>
  </si>
  <si>
    <t>ORD1801</t>
  </si>
  <si>
    <t>ORD1802</t>
  </si>
  <si>
    <t>ORD1803</t>
  </si>
  <si>
    <t>ORD1804</t>
  </si>
  <si>
    <t>ORD1805</t>
  </si>
  <si>
    <t>ORD1806</t>
  </si>
  <si>
    <t>ORD1807</t>
  </si>
  <si>
    <t>ORD1808</t>
  </si>
  <si>
    <t>ORD1809</t>
  </si>
  <si>
    <t>ORD1810</t>
  </si>
  <si>
    <t>ORD1811</t>
  </si>
  <si>
    <t>ORD1812</t>
  </si>
  <si>
    <t>ORD1813</t>
  </si>
  <si>
    <t>ORD1814</t>
  </si>
  <si>
    <t>ORD1815</t>
  </si>
  <si>
    <t>ORD1816</t>
  </si>
  <si>
    <t>ORD1817</t>
  </si>
  <si>
    <t>ORD1818</t>
  </si>
  <si>
    <t>ORD1819</t>
  </si>
  <si>
    <t>ORD1820</t>
  </si>
  <si>
    <t>ORD1821</t>
  </si>
  <si>
    <t>ORD1822</t>
  </si>
  <si>
    <t>ORD1823</t>
  </si>
  <si>
    <t>ORD1824</t>
  </si>
  <si>
    <t>ORD1825</t>
  </si>
  <si>
    <t>ORD1826</t>
  </si>
  <si>
    <t>ORD1827</t>
  </si>
  <si>
    <t>ORD1828</t>
  </si>
  <si>
    <t>ORD1829</t>
  </si>
  <si>
    <t>ORD1830</t>
  </si>
  <si>
    <t>ORD1831</t>
  </si>
  <si>
    <t>ORD1832</t>
  </si>
  <si>
    <t>ORD1833</t>
  </si>
  <si>
    <t>ORD1834</t>
  </si>
  <si>
    <t>ORD1835</t>
  </si>
  <si>
    <t>ORD1836</t>
  </si>
  <si>
    <t>ORD1837</t>
  </si>
  <si>
    <t>ORD1838</t>
  </si>
  <si>
    <t>ORD1839</t>
  </si>
  <si>
    <t>ORD1840</t>
  </si>
  <si>
    <t>ORD1841</t>
  </si>
  <si>
    <t>ORD1842</t>
  </si>
  <si>
    <t>ORD1843</t>
  </si>
  <si>
    <t>ORD1844</t>
  </si>
  <si>
    <t>ORD1845</t>
  </si>
  <si>
    <t>ORD1846</t>
  </si>
  <si>
    <t>ORD1847</t>
  </si>
  <si>
    <t>ORD1848</t>
  </si>
  <si>
    <t>ORD1849</t>
  </si>
  <si>
    <t>ORD1850</t>
  </si>
  <si>
    <t>ORD1851</t>
  </si>
  <si>
    <t>ORD1852</t>
  </si>
  <si>
    <t>ORD1853</t>
  </si>
  <si>
    <t>ORD1854</t>
  </si>
  <si>
    <t>ORD1855</t>
  </si>
  <si>
    <t>ORD1856</t>
  </si>
  <si>
    <t>ORD1857</t>
  </si>
  <si>
    <t>ORD1858</t>
  </si>
  <si>
    <t>ORD1859</t>
  </si>
  <si>
    <t>ORD1860</t>
  </si>
  <si>
    <t>ORD1861</t>
  </si>
  <si>
    <t>ORD1862</t>
  </si>
  <si>
    <t>ORD1863</t>
  </si>
  <si>
    <t>ORD1864</t>
  </si>
  <si>
    <t>ORD1865</t>
  </si>
  <si>
    <t>ORD1866</t>
  </si>
  <si>
    <t>ORD1867</t>
  </si>
  <si>
    <t>ORD1868</t>
  </si>
  <si>
    <t>ORD1869</t>
  </si>
  <si>
    <t>ORD1870</t>
  </si>
  <si>
    <t>ORD1871</t>
  </si>
  <si>
    <t>ORD1872</t>
  </si>
  <si>
    <t>ORD1873</t>
  </si>
  <si>
    <t>ORD1874</t>
  </si>
  <si>
    <t>ORD1875</t>
  </si>
  <si>
    <t>ORD1876</t>
  </si>
  <si>
    <t>ORD1877</t>
  </si>
  <si>
    <t>ORD1878</t>
  </si>
  <si>
    <t>ORD1879</t>
  </si>
  <si>
    <t>ORD1880</t>
  </si>
  <si>
    <t>ORD1881</t>
  </si>
  <si>
    <t>ORD1882</t>
  </si>
  <si>
    <t>ORD1883</t>
  </si>
  <si>
    <t>ORD1884</t>
  </si>
  <si>
    <t>ORD1885</t>
  </si>
  <si>
    <t>ORD1886</t>
  </si>
  <si>
    <t>ORD1887</t>
  </si>
  <si>
    <t>ORD1888</t>
  </si>
  <si>
    <t>ORD1889</t>
  </si>
  <si>
    <t>ORD1890</t>
  </si>
  <si>
    <t>ORD1891</t>
  </si>
  <si>
    <t>ORD1892</t>
  </si>
  <si>
    <t>ORD1893</t>
  </si>
  <si>
    <t>ORD1894</t>
  </si>
  <si>
    <t>ORD1895</t>
  </si>
  <si>
    <t>ORD1896</t>
  </si>
  <si>
    <t>ORD1897</t>
  </si>
  <si>
    <t>ORD1898</t>
  </si>
  <si>
    <t>ORD1899</t>
  </si>
  <si>
    <t>ORD1900</t>
  </si>
  <si>
    <t>ORD1901</t>
  </si>
  <si>
    <t>ORD1902</t>
  </si>
  <si>
    <t>ORD1903</t>
  </si>
  <si>
    <t>ORD1904</t>
  </si>
  <si>
    <t>ORD1905</t>
  </si>
  <si>
    <t>ORD1906</t>
  </si>
  <si>
    <t>ORD1907</t>
  </si>
  <si>
    <t>ORD1908</t>
  </si>
  <si>
    <t>ORD1909</t>
  </si>
  <si>
    <t>ORD1910</t>
  </si>
  <si>
    <t>ORD1911</t>
  </si>
  <si>
    <t>ORD1912</t>
  </si>
  <si>
    <t>ORD1913</t>
  </si>
  <si>
    <t>ORD1914</t>
  </si>
  <si>
    <t>ORD1915</t>
  </si>
  <si>
    <t>ORD1916</t>
  </si>
  <si>
    <t>ORD1917</t>
  </si>
  <si>
    <t>ORD1918</t>
  </si>
  <si>
    <t>ORD1919</t>
  </si>
  <si>
    <t>ORD1920</t>
  </si>
  <si>
    <t>ORD1921</t>
  </si>
  <si>
    <t>ORD1922</t>
  </si>
  <si>
    <t>ORD1923</t>
  </si>
  <si>
    <t>ORD1924</t>
  </si>
  <si>
    <t>ORD1925</t>
  </si>
  <si>
    <t>ORD1926</t>
  </si>
  <si>
    <t>ORD1927</t>
  </si>
  <si>
    <t>ORD1928</t>
  </si>
  <si>
    <t>ORD1929</t>
  </si>
  <si>
    <t>ORD1930</t>
  </si>
  <si>
    <t>ORD1931</t>
  </si>
  <si>
    <t>ORD1932</t>
  </si>
  <si>
    <t>ORD1933</t>
  </si>
  <si>
    <t>ORD1934</t>
  </si>
  <si>
    <t>ORD1935</t>
  </si>
  <si>
    <t>ORD1936</t>
  </si>
  <si>
    <t>ORD1937</t>
  </si>
  <si>
    <t>ORD1938</t>
  </si>
  <si>
    <t>ORD1939</t>
  </si>
  <si>
    <t>ORD1940</t>
  </si>
  <si>
    <t>ORD1941</t>
  </si>
  <si>
    <t>ORD1942</t>
  </si>
  <si>
    <t>ORD1943</t>
  </si>
  <si>
    <t>ORD1944</t>
  </si>
  <si>
    <t>ORD1945</t>
  </si>
  <si>
    <t>ORD1946</t>
  </si>
  <si>
    <t>ORD1947</t>
  </si>
  <si>
    <t>ORD1948</t>
  </si>
  <si>
    <t>ORD1949</t>
  </si>
  <si>
    <t>ORD1950</t>
  </si>
  <si>
    <t>ORD1951</t>
  </si>
  <si>
    <t>ORD1952</t>
  </si>
  <si>
    <t>ORD1953</t>
  </si>
  <si>
    <t>ORD1954</t>
  </si>
  <si>
    <t>ORD1955</t>
  </si>
  <si>
    <t>ORD1956</t>
  </si>
  <si>
    <t>ORD1957</t>
  </si>
  <si>
    <t>ORD1958</t>
  </si>
  <si>
    <t>ORD1959</t>
  </si>
  <si>
    <t>ORD1960</t>
  </si>
  <si>
    <t>ORD1961</t>
  </si>
  <si>
    <t>ORD1962</t>
  </si>
  <si>
    <t>ORD1963</t>
  </si>
  <si>
    <t>ORD1964</t>
  </si>
  <si>
    <t>ORD1965</t>
  </si>
  <si>
    <t>ORD1966</t>
  </si>
  <si>
    <t>ORD1967</t>
  </si>
  <si>
    <t>ORD1968</t>
  </si>
  <si>
    <t>ORD1969</t>
  </si>
  <si>
    <t>ORD1970</t>
  </si>
  <si>
    <t>ORD1971</t>
  </si>
  <si>
    <t>ORD1972</t>
  </si>
  <si>
    <t>ORD1973</t>
  </si>
  <si>
    <t>ORD1974</t>
  </si>
  <si>
    <t>ORD1975</t>
  </si>
  <si>
    <t>ORD1976</t>
  </si>
  <si>
    <t>ORD1977</t>
  </si>
  <si>
    <t>ORD1978</t>
  </si>
  <si>
    <t>ORD1979</t>
  </si>
  <si>
    <t>ORD1980</t>
  </si>
  <si>
    <t>ORD1981</t>
  </si>
  <si>
    <t>ORD1982</t>
  </si>
  <si>
    <t>ORD1983</t>
  </si>
  <si>
    <t>ORD1984</t>
  </si>
  <si>
    <t>ORD1985</t>
  </si>
  <si>
    <t>ORD1986</t>
  </si>
  <si>
    <t>ORD1987</t>
  </si>
  <si>
    <t>ORD1988</t>
  </si>
  <si>
    <t>ORD1989</t>
  </si>
  <si>
    <t>ORD1990</t>
  </si>
  <si>
    <t>ORD1991</t>
  </si>
  <si>
    <t>ORD1992</t>
  </si>
  <si>
    <t>ORD1993</t>
  </si>
  <si>
    <t>ORD1994</t>
  </si>
  <si>
    <t>ORD1995</t>
  </si>
  <si>
    <t>ORD1996</t>
  </si>
  <si>
    <t>ORD1997</t>
  </si>
  <si>
    <t>ORD1998</t>
  </si>
  <si>
    <t>ORD1999</t>
  </si>
  <si>
    <t>ORD2000</t>
  </si>
  <si>
    <t>Opening_Stock</t>
  </si>
  <si>
    <t>Stock_In</t>
  </si>
  <si>
    <t>Stock_Out</t>
  </si>
  <si>
    <t>Closing_Stock</t>
  </si>
  <si>
    <t>Reorder_Level</t>
  </si>
  <si>
    <t>Purchase_ID</t>
  </si>
  <si>
    <t>Purchase_Date</t>
  </si>
  <si>
    <t>Supplier</t>
  </si>
  <si>
    <t>Purchase_Value</t>
  </si>
  <si>
    <t>PUR2001</t>
  </si>
  <si>
    <t>Metro Distributors</t>
  </si>
  <si>
    <t>PUR2002</t>
  </si>
  <si>
    <t>PUR2003</t>
  </si>
  <si>
    <t>Global Components</t>
  </si>
  <si>
    <t>PUR2004</t>
  </si>
  <si>
    <t>TechSource</t>
  </si>
  <si>
    <t>PUR2005</t>
  </si>
  <si>
    <t>PrimeSupply</t>
  </si>
  <si>
    <t>PUR2006</t>
  </si>
  <si>
    <t>PUR2007</t>
  </si>
  <si>
    <t>PUR2008</t>
  </si>
  <si>
    <t>PUR2009</t>
  </si>
  <si>
    <t>PUR2010</t>
  </si>
  <si>
    <t>PUR2011</t>
  </si>
  <si>
    <t>NextGen Supplies</t>
  </si>
  <si>
    <t>PUR2012</t>
  </si>
  <si>
    <t>PUR2013</t>
  </si>
  <si>
    <t>PUR2014</t>
  </si>
  <si>
    <t>PUR2015</t>
  </si>
  <si>
    <t>PUR2016</t>
  </si>
  <si>
    <t>PUR2017</t>
  </si>
  <si>
    <t>PUR2018</t>
  </si>
  <si>
    <t>PUR2019</t>
  </si>
  <si>
    <t>PUR2020</t>
  </si>
  <si>
    <t>PUR2021</t>
  </si>
  <si>
    <t>PUR2022</t>
  </si>
  <si>
    <t>PUR2023</t>
  </si>
  <si>
    <t>PUR2024</t>
  </si>
  <si>
    <t>PUR2025</t>
  </si>
  <si>
    <t>PUR2026</t>
  </si>
  <si>
    <t>PUR2027</t>
  </si>
  <si>
    <t>PUR2028</t>
  </si>
  <si>
    <t>PUR2029</t>
  </si>
  <si>
    <t>PUR2030</t>
  </si>
  <si>
    <t>PUR2031</t>
  </si>
  <si>
    <t>PUR2032</t>
  </si>
  <si>
    <t>PUR2033</t>
  </si>
  <si>
    <t>PUR2034</t>
  </si>
  <si>
    <t>PUR2035</t>
  </si>
  <si>
    <t>PUR2036</t>
  </si>
  <si>
    <t>PUR2037</t>
  </si>
  <si>
    <t>PUR2038</t>
  </si>
  <si>
    <t>PUR2039</t>
  </si>
  <si>
    <t>PUR2040</t>
  </si>
  <si>
    <t>PUR2041</t>
  </si>
  <si>
    <t>PUR2042</t>
  </si>
  <si>
    <t>PUR2043</t>
  </si>
  <si>
    <t>PUR2044</t>
  </si>
  <si>
    <t>PUR2045</t>
  </si>
  <si>
    <t>PUR2046</t>
  </si>
  <si>
    <t>PUR2047</t>
  </si>
  <si>
    <t>PUR2048</t>
  </si>
  <si>
    <t>PUR2049</t>
  </si>
  <si>
    <t>PUR2050</t>
  </si>
  <si>
    <t>PUR2051</t>
  </si>
  <si>
    <t>PUR2052</t>
  </si>
  <si>
    <t>PUR2053</t>
  </si>
  <si>
    <t>PUR2054</t>
  </si>
  <si>
    <t>PUR2055</t>
  </si>
  <si>
    <t>PUR2056</t>
  </si>
  <si>
    <t>PUR2057</t>
  </si>
  <si>
    <t>PUR2058</t>
  </si>
  <si>
    <t>PUR2059</t>
  </si>
  <si>
    <t>PUR2060</t>
  </si>
  <si>
    <t>PUR2061</t>
  </si>
  <si>
    <t>PUR2062</t>
  </si>
  <si>
    <t>PUR2063</t>
  </si>
  <si>
    <t>PUR2064</t>
  </si>
  <si>
    <t>PUR2065</t>
  </si>
  <si>
    <t>PUR2066</t>
  </si>
  <si>
    <t>PUR2067</t>
  </si>
  <si>
    <t>PUR2068</t>
  </si>
  <si>
    <t>PUR2069</t>
  </si>
  <si>
    <t>PUR2070</t>
  </si>
  <si>
    <t>PUR2071</t>
  </si>
  <si>
    <t>PUR2072</t>
  </si>
  <si>
    <t>PUR2073</t>
  </si>
  <si>
    <t>PUR2074</t>
  </si>
  <si>
    <t>PUR2075</t>
  </si>
  <si>
    <t>PUR2076</t>
  </si>
  <si>
    <t>PUR2077</t>
  </si>
  <si>
    <t>PUR2078</t>
  </si>
  <si>
    <t>PUR2079</t>
  </si>
  <si>
    <t>PUR2080</t>
  </si>
  <si>
    <t>PUR2081</t>
  </si>
  <si>
    <t>PUR2082</t>
  </si>
  <si>
    <t>PUR2083</t>
  </si>
  <si>
    <t>PUR2084</t>
  </si>
  <si>
    <t>PUR2085</t>
  </si>
  <si>
    <t>PUR2086</t>
  </si>
  <si>
    <t>PUR2087</t>
  </si>
  <si>
    <t>PUR2088</t>
  </si>
  <si>
    <t>PUR2089</t>
  </si>
  <si>
    <t>PUR2090</t>
  </si>
  <si>
    <t>PUR2091</t>
  </si>
  <si>
    <t>PUR2092</t>
  </si>
  <si>
    <t>PUR2093</t>
  </si>
  <si>
    <t>PUR2094</t>
  </si>
  <si>
    <t>PUR2095</t>
  </si>
  <si>
    <t>PUR2096</t>
  </si>
  <si>
    <t>PUR2097</t>
  </si>
  <si>
    <t>PUR2098</t>
  </si>
  <si>
    <t>PUR2099</t>
  </si>
  <si>
    <t>PUR2100</t>
  </si>
  <si>
    <t>PUR2101</t>
  </si>
  <si>
    <t>PUR2102</t>
  </si>
  <si>
    <t>PUR2103</t>
  </si>
  <si>
    <t>PUR2104</t>
  </si>
  <si>
    <t>PUR2105</t>
  </si>
  <si>
    <t>PUR2106</t>
  </si>
  <si>
    <t>PUR2107</t>
  </si>
  <si>
    <t>PUR2108</t>
  </si>
  <si>
    <t>PUR2109</t>
  </si>
  <si>
    <t>PUR2110</t>
  </si>
  <si>
    <t>PUR2111</t>
  </si>
  <si>
    <t>PUR2112</t>
  </si>
  <si>
    <t>PUR2113</t>
  </si>
  <si>
    <t>PUR2114</t>
  </si>
  <si>
    <t>PUR2115</t>
  </si>
  <si>
    <t>PUR2116</t>
  </si>
  <si>
    <t>PUR2117</t>
  </si>
  <si>
    <t>PUR2118</t>
  </si>
  <si>
    <t>PUR2119</t>
  </si>
  <si>
    <t>PUR2120</t>
  </si>
  <si>
    <t>PUR2121</t>
  </si>
  <si>
    <t>PUR2122</t>
  </si>
  <si>
    <t>PUR2123</t>
  </si>
  <si>
    <t>PUR2124</t>
  </si>
  <si>
    <t>PUR2125</t>
  </si>
  <si>
    <t>PUR2126</t>
  </si>
  <si>
    <t>PUR2127</t>
  </si>
  <si>
    <t>PUR2128</t>
  </si>
  <si>
    <t>PUR2129</t>
  </si>
  <si>
    <t>PUR2130</t>
  </si>
  <si>
    <t>PUR2131</t>
  </si>
  <si>
    <t>PUR2132</t>
  </si>
  <si>
    <t>PUR2133</t>
  </si>
  <si>
    <t>PUR2134</t>
  </si>
  <si>
    <t>PUR2135</t>
  </si>
  <si>
    <t>PUR2136</t>
  </si>
  <si>
    <t>PUR2137</t>
  </si>
  <si>
    <t>PUR2138</t>
  </si>
  <si>
    <t>PUR2139</t>
  </si>
  <si>
    <t>PUR2140</t>
  </si>
  <si>
    <t>PUR2141</t>
  </si>
  <si>
    <t>PUR2142</t>
  </si>
  <si>
    <t>PUR2143</t>
  </si>
  <si>
    <t>PUR2144</t>
  </si>
  <si>
    <t>PUR2145</t>
  </si>
  <si>
    <t>PUR2146</t>
  </si>
  <si>
    <t>PUR2147</t>
  </si>
  <si>
    <t>PUR2148</t>
  </si>
  <si>
    <t>PUR2149</t>
  </si>
  <si>
    <t>PUR2150</t>
  </si>
  <si>
    <t>PUR2151</t>
  </si>
  <si>
    <t>PUR2152</t>
  </si>
  <si>
    <t>PUR2153</t>
  </si>
  <si>
    <t>PUR2154</t>
  </si>
  <si>
    <t>PUR2155</t>
  </si>
  <si>
    <t>PUR2156</t>
  </si>
  <si>
    <t>PUR2157</t>
  </si>
  <si>
    <t>PUR2158</t>
  </si>
  <si>
    <t>PUR2159</t>
  </si>
  <si>
    <t>PUR2160</t>
  </si>
  <si>
    <t>PUR2161</t>
  </si>
  <si>
    <t>PUR2162</t>
  </si>
  <si>
    <t>PUR2163</t>
  </si>
  <si>
    <t>PUR2164</t>
  </si>
  <si>
    <t>PUR2165</t>
  </si>
  <si>
    <t>PUR2166</t>
  </si>
  <si>
    <t>PUR2167</t>
  </si>
  <si>
    <t>PUR2168</t>
  </si>
  <si>
    <t>PUR2169</t>
  </si>
  <si>
    <t>PUR2170</t>
  </si>
  <si>
    <t>PUR2171</t>
  </si>
  <si>
    <t>PUR2172</t>
  </si>
  <si>
    <t>PUR2173</t>
  </si>
  <si>
    <t>PUR2174</t>
  </si>
  <si>
    <t>PUR2175</t>
  </si>
  <si>
    <t>PUR2176</t>
  </si>
  <si>
    <t>PUR2177</t>
  </si>
  <si>
    <t>PUR2178</t>
  </si>
  <si>
    <t>PUR2179</t>
  </si>
  <si>
    <t>PUR2180</t>
  </si>
  <si>
    <t>PUR2181</t>
  </si>
  <si>
    <t>PUR2182</t>
  </si>
  <si>
    <t>PUR2183</t>
  </si>
  <si>
    <t>PUR2184</t>
  </si>
  <si>
    <t>PUR2185</t>
  </si>
  <si>
    <t>PUR2186</t>
  </si>
  <si>
    <t>PUR2187</t>
  </si>
  <si>
    <t>PUR2188</t>
  </si>
  <si>
    <t>PUR2189</t>
  </si>
  <si>
    <t>PUR2190</t>
  </si>
  <si>
    <t>PUR2191</t>
  </si>
  <si>
    <t>PUR2192</t>
  </si>
  <si>
    <t>PUR2193</t>
  </si>
  <si>
    <t>PUR2194</t>
  </si>
  <si>
    <t>PUR2195</t>
  </si>
  <si>
    <t>PUR2196</t>
  </si>
  <si>
    <t>PUR2197</t>
  </si>
  <si>
    <t>PUR2198</t>
  </si>
  <si>
    <t>PUR2199</t>
  </si>
  <si>
    <t>PUR2200</t>
  </si>
  <si>
    <t>PUR2201</t>
  </si>
  <si>
    <t>PUR2202</t>
  </si>
  <si>
    <t>PUR2203</t>
  </si>
  <si>
    <t>PUR2204</t>
  </si>
  <si>
    <t>PUR2205</t>
  </si>
  <si>
    <t>PUR2206</t>
  </si>
  <si>
    <t>PUR2207</t>
  </si>
  <si>
    <t>PUR2208</t>
  </si>
  <si>
    <t>PUR2209</t>
  </si>
  <si>
    <t>PUR2210</t>
  </si>
  <si>
    <t>PUR2211</t>
  </si>
  <si>
    <t>PUR2212</t>
  </si>
  <si>
    <t>PUR2213</t>
  </si>
  <si>
    <t>PUR2214</t>
  </si>
  <si>
    <t>PUR2215</t>
  </si>
  <si>
    <t>PUR2216</t>
  </si>
  <si>
    <t>PUR2217</t>
  </si>
  <si>
    <t>PUR2218</t>
  </si>
  <si>
    <t>PUR2219</t>
  </si>
  <si>
    <t>PUR2220</t>
  </si>
  <si>
    <t>PUR2221</t>
  </si>
  <si>
    <t>PUR2222</t>
  </si>
  <si>
    <t>PUR2223</t>
  </si>
  <si>
    <t>PUR2224</t>
  </si>
  <si>
    <t>PUR2225</t>
  </si>
  <si>
    <t>PUR2226</t>
  </si>
  <si>
    <t>PUR2227</t>
  </si>
  <si>
    <t>PUR2228</t>
  </si>
  <si>
    <t>PUR2229</t>
  </si>
  <si>
    <t>PUR2230</t>
  </si>
  <si>
    <t>PUR2231</t>
  </si>
  <si>
    <t>PUR2232</t>
  </si>
  <si>
    <t>PUR2233</t>
  </si>
  <si>
    <t>PUR2234</t>
  </si>
  <si>
    <t>PUR2235</t>
  </si>
  <si>
    <t>PUR2236</t>
  </si>
  <si>
    <t>PUR2237</t>
  </si>
  <si>
    <t>PUR2238</t>
  </si>
  <si>
    <t>PUR2239</t>
  </si>
  <si>
    <t>PUR2240</t>
  </si>
  <si>
    <t>PUR2241</t>
  </si>
  <si>
    <t>PUR2242</t>
  </si>
  <si>
    <t>PUR2243</t>
  </si>
  <si>
    <t>PUR2244</t>
  </si>
  <si>
    <t>PUR2245</t>
  </si>
  <si>
    <t>PUR2246</t>
  </si>
  <si>
    <t>PUR2247</t>
  </si>
  <si>
    <t>PUR2248</t>
  </si>
  <si>
    <t>PUR2249</t>
  </si>
  <si>
    <t>PUR2250</t>
  </si>
  <si>
    <t>PUR2251</t>
  </si>
  <si>
    <t>PUR2252</t>
  </si>
  <si>
    <t>PUR2253</t>
  </si>
  <si>
    <t>PUR2254</t>
  </si>
  <si>
    <t>PUR2255</t>
  </si>
  <si>
    <t>PUR2256</t>
  </si>
  <si>
    <t>PUR2257</t>
  </si>
  <si>
    <t>PUR2258</t>
  </si>
  <si>
    <t>PUR2259</t>
  </si>
  <si>
    <t>PUR2260</t>
  </si>
  <si>
    <t>PUR2261</t>
  </si>
  <si>
    <t>PUR2262</t>
  </si>
  <si>
    <t>PUR2263</t>
  </si>
  <si>
    <t>PUR2264</t>
  </si>
  <si>
    <t>PUR2265</t>
  </si>
  <si>
    <t>PUR2266</t>
  </si>
  <si>
    <t>PUR2267</t>
  </si>
  <si>
    <t>PUR2268</t>
  </si>
  <si>
    <t>PUR2269</t>
  </si>
  <si>
    <t>PUR2270</t>
  </si>
  <si>
    <t>PUR2271</t>
  </si>
  <si>
    <t>PUR2272</t>
  </si>
  <si>
    <t>PUR2273</t>
  </si>
  <si>
    <t>PUR2274</t>
  </si>
  <si>
    <t>PUR2275</t>
  </si>
  <si>
    <t>PUR2276</t>
  </si>
  <si>
    <t>PUR2277</t>
  </si>
  <si>
    <t>PUR2278</t>
  </si>
  <si>
    <t>PUR2279</t>
  </si>
  <si>
    <t>PUR2280</t>
  </si>
  <si>
    <t>PUR2281</t>
  </si>
  <si>
    <t>PUR2282</t>
  </si>
  <si>
    <t>PUR2283</t>
  </si>
  <si>
    <t>PUR2284</t>
  </si>
  <si>
    <t>PUR2285</t>
  </si>
  <si>
    <t>PUR2286</t>
  </si>
  <si>
    <t>PUR2287</t>
  </si>
  <si>
    <t>PUR2288</t>
  </si>
  <si>
    <t>PUR2289</t>
  </si>
  <si>
    <t>PUR2290</t>
  </si>
  <si>
    <t>PUR2291</t>
  </si>
  <si>
    <t>PUR2292</t>
  </si>
  <si>
    <t>PUR2293</t>
  </si>
  <si>
    <t>PUR2294</t>
  </si>
  <si>
    <t>PUR2295</t>
  </si>
  <si>
    <t>PUR2296</t>
  </si>
  <si>
    <t>PUR2297</t>
  </si>
  <si>
    <t>PUR2298</t>
  </si>
  <si>
    <t>PUR2299</t>
  </si>
  <si>
    <t>PUR2300</t>
  </si>
  <si>
    <t>Dispatch_Delay_Days</t>
  </si>
  <si>
    <t>Dispatch_Performance</t>
  </si>
  <si>
    <t>On Time</t>
  </si>
  <si>
    <t>Stock_Status</t>
  </si>
  <si>
    <t>Low Stock</t>
  </si>
  <si>
    <t>Healthy</t>
  </si>
  <si>
    <t>Out of Stock</t>
  </si>
  <si>
    <t>Unit_Cost</t>
  </si>
  <si>
    <t>Purchase_Month</t>
  </si>
  <si>
    <t>KPI</t>
  </si>
  <si>
    <t>Value</t>
  </si>
  <si>
    <t>Total Orders</t>
  </si>
  <si>
    <t>Dispatched Orders</t>
  </si>
  <si>
    <t>Pending Orders</t>
  </si>
  <si>
    <t>Delayed Orders</t>
  </si>
  <si>
    <t>On-Time %</t>
  </si>
  <si>
    <t>Total Quantity</t>
  </si>
  <si>
    <t>Total Closing Stock</t>
  </si>
  <si>
    <t>Low Stock Items</t>
  </si>
  <si>
    <t>Out of Stock Items</t>
  </si>
  <si>
    <t>Total Purchase Value</t>
  </si>
  <si>
    <t>Total Purchase Quantity</t>
  </si>
  <si>
    <t>Region-wise Operations Summary</t>
  </si>
  <si>
    <t>Total</t>
  </si>
  <si>
    <t>Delayed Rate %</t>
  </si>
  <si>
    <t>Highest Order Volume</t>
  </si>
  <si>
    <t>Order Volume Insight</t>
  </si>
  <si>
    <t>Recommended Action</t>
  </si>
  <si>
    <t>Last 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</si>
</sst>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&quot;₹&quot;\ #,##0"/>
    <numFmt numFmtId="166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0" fillId="0" borderId="2" xfId="0" applyBorder="1"/>
    <xf numFmtId="10" fontId="0" fillId="0" borderId="2" xfId="0" applyNumberFormat="1" applyBorder="1"/>
    <xf numFmtId="165" fontId="0" fillId="0" borderId="2" xfId="0" applyNumberFormat="1" applyBorder="1"/>
    <xf numFmtId="3" fontId="0" fillId="0" borderId="2" xfId="0" applyNumberFormat="1" applyBorder="1"/>
    <xf numFmtId="0" fontId="2" fillId="2" borderId="2" xfId="0" applyFont="1" applyFill="1" applyBorder="1" applyAlignment="1">
      <alignment horizontal="center"/>
    </xf>
    <xf numFmtId="0" fontId="4" fillId="0" borderId="0" xfId="0" applyFont="1"/>
    <xf numFmtId="0" fontId="5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0" borderId="2" xfId="0" applyFont="1" applyBorder="1"/>
    <xf numFmtId="10" fontId="0" fillId="0" borderId="0" xfId="0" applyNumberFormat="1"/>
    <xf numFmtId="166" fontId="0" fillId="0" borderId="2" xfId="0" applyNumberFormat="1" applyBorder="1"/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 vertical="top"/>
    </xf>
  </cellXfs>
  <cellStyles count="1">
    <cellStyle name="Normal" xfId="0" builtinId="0"/>
  </cellStyles>
  <dxfs count="29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REGION-WISE DELAY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987858292673794E-2"/>
          <c:y val="9.8422712933753931E-2"/>
          <c:w val="0.93306602443315823"/>
          <c:h val="0.843032762860478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MIS_Summary!$E$16</c:f>
              <c:strCache>
                <c:ptCount val="1"/>
                <c:pt idx="0">
                  <c:v>Delayed Rate 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MIS_Summary!$A$17:$A$20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MIS_Summary!$E$17:$E$20</c:f>
              <c:numCache>
                <c:formatCode>0.00%</c:formatCode>
                <c:ptCount val="4"/>
                <c:pt idx="0">
                  <c:v>8.6021505376344093E-2</c:v>
                </c:pt>
                <c:pt idx="1">
                  <c:v>8.7301587301587297E-2</c:v>
                </c:pt>
                <c:pt idx="2">
                  <c:v>8.11965811965812E-2</c:v>
                </c:pt>
                <c:pt idx="3">
                  <c:v>8.9361702127659579E-2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1-40E1-90BB-3C25D354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49960656"/>
        <c:axId val="2014581520"/>
      </c:barChart>
      <c:catAx>
        <c:axId val="114996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581520"/>
        <c:crosses val="autoZero"/>
        <c:auto val="1"/>
        <c:lblAlgn val="ctr"/>
        <c:lblOffset val="100"/>
        <c:noMultiLvlLbl val="0"/>
      </c:catAx>
      <c:valAx>
        <c:axId val="2014581520"/>
        <c:scaling>
          <c:orientation val="minMax"/>
          <c:min val="0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96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REGION-WISE ORDER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MIS_Summary!$B$16</c:f>
              <c:strCache>
                <c:ptCount val="1"/>
                <c:pt idx="0">
                  <c:v>Total Orders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MIS_Summary!$A$17:$A$20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MIS_Summary!$B$17:$B$20</c:f>
              <c:numCache>
                <c:formatCode>General</c:formatCode>
                <c:ptCount val="4"/>
                <c:pt idx="0">
                  <c:v>279</c:v>
                </c:pt>
                <c:pt idx="1">
                  <c:v>252</c:v>
                </c:pt>
                <c:pt idx="2">
                  <c:v>234</c:v>
                </c:pt>
                <c:pt idx="3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E-4859-8724-2C145290B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49445440"/>
        <c:axId val="2014596400"/>
      </c:barChart>
      <c:catAx>
        <c:axId val="114944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596400"/>
        <c:crosses val="autoZero"/>
        <c:auto val="1"/>
        <c:lblAlgn val="ctr"/>
        <c:lblOffset val="100"/>
        <c:noMultiLvlLbl val="0"/>
      </c:catAx>
      <c:valAx>
        <c:axId val="20145964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44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203614</xdr:colOff>
      <xdr:row>0</xdr:row>
      <xdr:rowOff>74773</xdr:rowOff>
    </xdr:from>
    <xdr:to>
      <xdr:col>17</xdr:col>
      <xdr:colOff>101600</xdr:colOff>
      <xdr:row>6</xdr:row>
      <xdr:rowOff>52916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E1F9D63-79F9-C353-760D-60D28D4157D9}"/>
            </a:ext>
          </a:extLst>
        </xdr:cNvPr>
        <xdr:cNvSpPr/>
      </xdr:nvSpPr>
      <xdr:spPr>
        <a:xfrm>
          <a:off x="203614" y="74773"/>
          <a:ext cx="20878386" cy="104494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4400" b="1">
              <a:solidFill>
                <a:schemeClr val="bg1"/>
              </a:solidFill>
            </a:rPr>
            <a:t>OPERATIONS &amp; INVENTORY MIS DASHBOARD</a:t>
          </a:r>
        </a:p>
      </xdr:txBody>
    </xdr:sp>
    <xdr:clientData/>
  </xdr:twoCellAnchor>
  <xdr:twoCellAnchor>
    <xdr:from>
      <xdr:col>1</xdr:col>
      <xdr:colOff>10583</xdr:colOff>
      <xdr:row>8</xdr:row>
      <xdr:rowOff>40568</xdr:rowOff>
    </xdr:from>
    <xdr:to>
      <xdr:col>4</xdr:col>
      <xdr:colOff>899583</xdr:colOff>
      <xdr:row>13</xdr:row>
      <xdr:rowOff>168069</xdr:rowOff>
    </xdr:to>
    <xdr:sp macro="" textlink="MIS_Summary!B2">
      <xdr:nvSpPr>
        <xdr:cNvPr id="5" name="Rectangle: Rounded Corners 4">
          <a:extLst>
            <a:ext uri="{FF2B5EF4-FFF2-40B4-BE49-F238E27FC236}">
              <a16:creationId xmlns:a16="http://schemas.microsoft.com/office/drawing/2014/main" id="{BD042575-3E0E-BEAF-2BB6-A5773A412E63}"/>
            </a:ext>
          </a:extLst>
        </xdr:cNvPr>
        <xdr:cNvSpPr/>
      </xdr:nvSpPr>
      <xdr:spPr>
        <a:xfrm>
          <a:off x="275166" y="1522235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Total Orders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4F32E0E0-EEEE-43C9-A7BB-A42B0505DFA1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1000</a:t>
          </a:fld>
          <a:endParaRPr lang="en-IN" sz="2400" b="1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423235</xdr:colOff>
      <xdr:row>7</xdr:row>
      <xdr:rowOff>145755</xdr:rowOff>
    </xdr:from>
    <xdr:to>
      <xdr:col>17</xdr:col>
      <xdr:colOff>7909</xdr:colOff>
      <xdr:row>13</xdr:row>
      <xdr:rowOff>88047</xdr:rowOff>
    </xdr:to>
    <xdr:sp macro="" textlink="MIS_Summary!B6">
      <xdr:nvSpPr>
        <xdr:cNvPr id="6" name="Rectangle: Rounded Corners 5">
          <a:extLst>
            <a:ext uri="{FF2B5EF4-FFF2-40B4-BE49-F238E27FC236}">
              <a16:creationId xmlns:a16="http://schemas.microsoft.com/office/drawing/2014/main" id="{234E9317-0E8E-42AD-8670-42433511E99D}"/>
            </a:ext>
          </a:extLst>
        </xdr:cNvPr>
        <xdr:cNvSpPr/>
      </xdr:nvSpPr>
      <xdr:spPr>
        <a:xfrm>
          <a:off x="16245318" y="1442213"/>
          <a:ext cx="4770508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On-Time %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24BA16CA-619C-4E6F-A1BA-335181B02741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88.27%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404698</xdr:colOff>
      <xdr:row>7</xdr:row>
      <xdr:rowOff>181399</xdr:rowOff>
    </xdr:from>
    <xdr:to>
      <xdr:col>12</xdr:col>
      <xdr:colOff>1296451</xdr:colOff>
      <xdr:row>13</xdr:row>
      <xdr:rowOff>123691</xdr:rowOff>
    </xdr:to>
    <xdr:sp macro="" textlink="MIS_Summary!B5">
      <xdr:nvSpPr>
        <xdr:cNvPr id="7" name="Rectangle: Rounded Corners 6">
          <a:extLst>
            <a:ext uri="{FF2B5EF4-FFF2-40B4-BE49-F238E27FC236}">
              <a16:creationId xmlns:a16="http://schemas.microsoft.com/office/drawing/2014/main" id="{DD1C2622-265E-4B25-B7EC-8F3A20AD6EA4}"/>
            </a:ext>
          </a:extLst>
        </xdr:cNvPr>
        <xdr:cNvSpPr/>
      </xdr:nvSpPr>
      <xdr:spPr>
        <a:xfrm>
          <a:off x="11040948" y="1477857"/>
          <a:ext cx="4781128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Delayed Orders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48F0CC43-506B-48EB-B044-C0347486A5A9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86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53020</xdr:colOff>
      <xdr:row>8</xdr:row>
      <xdr:rowOff>25095</xdr:rowOff>
    </xdr:from>
    <xdr:to>
      <xdr:col>8</xdr:col>
      <xdr:colOff>942020</xdr:colOff>
      <xdr:row>13</xdr:row>
      <xdr:rowOff>152596</xdr:rowOff>
    </xdr:to>
    <xdr:sp macro="" textlink="MIS_Summary!B4">
      <xdr:nvSpPr>
        <xdr:cNvPr id="8" name="Rectangle: Rounded Corners 7">
          <a:extLst>
            <a:ext uri="{FF2B5EF4-FFF2-40B4-BE49-F238E27FC236}">
              <a16:creationId xmlns:a16="http://schemas.microsoft.com/office/drawing/2014/main" id="{D709E650-2C69-4D7E-9CD5-B1CA9FE51637}"/>
            </a:ext>
          </a:extLst>
        </xdr:cNvPr>
        <xdr:cNvSpPr/>
      </xdr:nvSpPr>
      <xdr:spPr>
        <a:xfrm>
          <a:off x="5503437" y="1506762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Pending Orders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2A0762A4-3633-409D-A02F-CB5824868117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181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460230</xdr:colOff>
      <xdr:row>15</xdr:row>
      <xdr:rowOff>132911</xdr:rowOff>
    </xdr:from>
    <xdr:to>
      <xdr:col>17</xdr:col>
      <xdr:colOff>52771</xdr:colOff>
      <xdr:row>21</xdr:row>
      <xdr:rowOff>75203</xdr:rowOff>
    </xdr:to>
    <xdr:sp macro="" textlink="MIS_Summary!B11">
      <xdr:nvSpPr>
        <xdr:cNvPr id="9" name="Rectangle: Rounded Corners 8">
          <a:extLst>
            <a:ext uri="{FF2B5EF4-FFF2-40B4-BE49-F238E27FC236}">
              <a16:creationId xmlns:a16="http://schemas.microsoft.com/office/drawing/2014/main" id="{AA1D6F43-DAE8-442A-A4F0-F197C8E70F56}"/>
            </a:ext>
          </a:extLst>
        </xdr:cNvPr>
        <xdr:cNvSpPr/>
      </xdr:nvSpPr>
      <xdr:spPr>
        <a:xfrm>
          <a:off x="16282313" y="2911036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Purchase Value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800152BD-EABF-4B6E-B6EF-E684E80736CB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₹ 37,22,07,800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445581</xdr:colOff>
      <xdr:row>15</xdr:row>
      <xdr:rowOff>145898</xdr:rowOff>
    </xdr:from>
    <xdr:to>
      <xdr:col>13</xdr:col>
      <xdr:colOff>38123</xdr:colOff>
      <xdr:row>21</xdr:row>
      <xdr:rowOff>88190</xdr:rowOff>
    </xdr:to>
    <xdr:sp macro="" textlink="MIS_Summary!B10">
      <xdr:nvSpPr>
        <xdr:cNvPr id="10" name="Rectangle: Rounded Corners 9">
          <a:extLst>
            <a:ext uri="{FF2B5EF4-FFF2-40B4-BE49-F238E27FC236}">
              <a16:creationId xmlns:a16="http://schemas.microsoft.com/office/drawing/2014/main" id="{DF55AA24-B0F6-4B19-B059-3597E6E1BE4E}"/>
            </a:ext>
          </a:extLst>
        </xdr:cNvPr>
        <xdr:cNvSpPr/>
      </xdr:nvSpPr>
      <xdr:spPr>
        <a:xfrm>
          <a:off x="11081831" y="2924023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Out of Stock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E0CF0153-3B30-4750-A238-51887417EC43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2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49235</xdr:colOff>
      <xdr:row>15</xdr:row>
      <xdr:rowOff>158975</xdr:rowOff>
    </xdr:from>
    <xdr:to>
      <xdr:col>8</xdr:col>
      <xdr:colOff>938235</xdr:colOff>
      <xdr:row>21</xdr:row>
      <xdr:rowOff>101267</xdr:rowOff>
    </xdr:to>
    <xdr:sp macro="" textlink="MIS_Summary!B9">
      <xdr:nvSpPr>
        <xdr:cNvPr id="11" name="Rectangle: Rounded Corners 10">
          <a:extLst>
            <a:ext uri="{FF2B5EF4-FFF2-40B4-BE49-F238E27FC236}">
              <a16:creationId xmlns:a16="http://schemas.microsoft.com/office/drawing/2014/main" id="{E0770117-44DC-4681-88E2-EF584DE728C0}"/>
            </a:ext>
          </a:extLst>
        </xdr:cNvPr>
        <xdr:cNvSpPr/>
      </xdr:nvSpPr>
      <xdr:spPr>
        <a:xfrm>
          <a:off x="5499652" y="2937100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Low Stock 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EDC396A9-C8E1-4E3F-AC26-E628540B5C5D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6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85754</xdr:colOff>
      <xdr:row>16</xdr:row>
      <xdr:rowOff>11806</xdr:rowOff>
    </xdr:from>
    <xdr:to>
      <xdr:col>4</xdr:col>
      <xdr:colOff>974754</xdr:colOff>
      <xdr:row>21</xdr:row>
      <xdr:rowOff>139306</xdr:rowOff>
    </xdr:to>
    <xdr:sp macro="" textlink="MIS_Summary!B8">
      <xdr:nvSpPr>
        <xdr:cNvPr id="12" name="Rectangle: Rounded Corners 11">
          <a:extLst>
            <a:ext uri="{FF2B5EF4-FFF2-40B4-BE49-F238E27FC236}">
              <a16:creationId xmlns:a16="http://schemas.microsoft.com/office/drawing/2014/main" id="{2F5A1AD2-22F8-45C8-AE08-1C21E8FFB97F}"/>
            </a:ext>
          </a:extLst>
        </xdr:cNvPr>
        <xdr:cNvSpPr/>
      </xdr:nvSpPr>
      <xdr:spPr>
        <a:xfrm>
          <a:off x="350337" y="2975139"/>
          <a:ext cx="4778375" cy="105354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r>
            <a:rPr lang="en-IN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Closing Stock</a:t>
          </a:r>
          <a:br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</a:br>
          <a:fld id="{3B44FA2D-6AEC-4990-8BD0-D9FFDD87DA4B}" type="TxLink">
            <a:rPr lang="en-US" sz="2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l"/>
            <a:t>7433</a:t>
          </a:fld>
          <a:endParaRPr lang="en-IN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14816</xdr:colOff>
      <xdr:row>23</xdr:row>
      <xdr:rowOff>95249</xdr:rowOff>
    </xdr:from>
    <xdr:to>
      <xdr:col>8</xdr:col>
      <xdr:colOff>988483</xdr:colOff>
      <xdr:row>50</xdr:row>
      <xdr:rowOff>52916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B4E8984-0CC9-7BBD-EFFA-BD558A60C280}"/>
            </a:ext>
          </a:extLst>
        </xdr:cNvPr>
        <xdr:cNvSpPr/>
      </xdr:nvSpPr>
      <xdr:spPr>
        <a:xfrm>
          <a:off x="268816" y="4184649"/>
          <a:ext cx="10041467" cy="475826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600" b="1">
            <a:solidFill>
              <a:srgbClr val="00206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427566</xdr:colOff>
      <xdr:row>23</xdr:row>
      <xdr:rowOff>87841</xdr:rowOff>
    </xdr:from>
    <xdr:to>
      <xdr:col>17</xdr:col>
      <xdr:colOff>115357</xdr:colOff>
      <xdr:row>50</xdr:row>
      <xdr:rowOff>45508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5FC11F3-2EA3-4F60-9769-7A21AAE589C2}"/>
            </a:ext>
          </a:extLst>
        </xdr:cNvPr>
        <xdr:cNvSpPr/>
      </xdr:nvSpPr>
      <xdr:spPr>
        <a:xfrm>
          <a:off x="11044766" y="4177241"/>
          <a:ext cx="10050991" cy="475826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600" b="1">
            <a:solidFill>
              <a:srgbClr val="00206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712440</xdr:colOff>
      <xdr:row>24</xdr:row>
      <xdr:rowOff>105833</xdr:rowOff>
    </xdr:from>
    <xdr:to>
      <xdr:col>16</xdr:col>
      <xdr:colOff>1130611</xdr:colOff>
      <xdr:row>48</xdr:row>
      <xdr:rowOff>158749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B01FB38-8CD6-4697-ADF7-DED19B74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464633</xdr:colOff>
      <xdr:row>24</xdr:row>
      <xdr:rowOff>0</xdr:rowOff>
    </xdr:from>
    <xdr:to>
      <xdr:col>8</xdr:col>
      <xdr:colOff>743415</xdr:colOff>
      <xdr:row>49</xdr:row>
      <xdr:rowOff>132292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69902C-76E8-4091-9DCB-47A8E6D5EF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130356</xdr:colOff>
      <xdr:row>52</xdr:row>
      <xdr:rowOff>23788</xdr:rowOff>
    </xdr:from>
    <xdr:to>
      <xdr:col>17</xdr:col>
      <xdr:colOff>41946</xdr:colOff>
      <xdr:row>77</xdr:row>
      <xdr:rowOff>64909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BD8967-0CE3-1CAF-0853-5249B6092014}"/>
            </a:ext>
          </a:extLst>
        </xdr:cNvPr>
        <xdr:cNvSpPr/>
      </xdr:nvSpPr>
      <xdr:spPr>
        <a:xfrm>
          <a:off x="394939" y="9654621"/>
          <a:ext cx="20654924" cy="467133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3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3200" b="1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</xdr:col>
      <xdr:colOff>602518</xdr:colOff>
      <xdr:row>53</xdr:row>
      <xdr:rowOff>146539</xdr:rowOff>
    </xdr:from>
    <xdr:to>
      <xdr:col>5</xdr:col>
      <xdr:colOff>952500</xdr:colOff>
      <xdr:row>76</xdr:row>
      <xdr:rowOff>11845</xdr:rowOff>
    </xdr:to>
    <xdr:sp macro="" textlink="MIS_Summary!B24">
      <xdr:nvSpPr>
        <xdr:cNvPr id="3" name="Rectangle: Rounded Corners 2">
          <a:extLst>
            <a:ext uri="{FF2B5EF4-FFF2-40B4-BE49-F238E27FC236}">
              <a16:creationId xmlns:a16="http://schemas.microsoft.com/office/drawing/2014/main" id="{4B84E6D2-C179-3DE4-E80A-283022C1518C}"/>
            </a:ext>
          </a:extLst>
        </xdr:cNvPr>
        <xdr:cNvSpPr/>
      </xdr:nvSpPr>
      <xdr:spPr>
        <a:xfrm>
          <a:off x="867101" y="9962581"/>
          <a:ext cx="5535816" cy="412509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t>KEY FINDING</a:t>
          </a:r>
        </a:p>
        <a:p>
          <a:pPr marL="0" indent="0" algn="l"/>
          <a:endParaRPr lang="en-US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  <a:p>
          <a:pPr marL="0" indent="0" algn="l"/>
          <a:fld id="{DC0DF04B-D9A1-40DD-B575-B37990E163AB}" type="TxLink"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pPr marL="0" indent="0" algn="l"/>
            <a:t>Highest Order Volume: North</a:t>
          </a:fld>
          <a:endParaRPr lang="en-IN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449792</xdr:colOff>
      <xdr:row>53</xdr:row>
      <xdr:rowOff>170961</xdr:rowOff>
    </xdr:from>
    <xdr:to>
      <xdr:col>16</xdr:col>
      <xdr:colOff>841700</xdr:colOff>
      <xdr:row>76</xdr:row>
      <xdr:rowOff>100</xdr:rowOff>
    </xdr:to>
    <xdr:sp macro="" textlink="MIS_Summary!B26">
      <xdr:nvSpPr>
        <xdr:cNvPr id="16" name="Rectangle: Rounded Corners 15">
          <a:extLst>
            <a:ext uri="{FF2B5EF4-FFF2-40B4-BE49-F238E27FC236}">
              <a16:creationId xmlns:a16="http://schemas.microsoft.com/office/drawing/2014/main" id="{32A57386-7A91-40F3-AB34-167A3F777DB9}"/>
            </a:ext>
          </a:extLst>
        </xdr:cNvPr>
        <xdr:cNvSpPr/>
      </xdr:nvSpPr>
      <xdr:spPr>
        <a:xfrm>
          <a:off x="14975417" y="9987003"/>
          <a:ext cx="5577741" cy="408893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t>RECOMMENDED ACTION</a:t>
          </a:r>
        </a:p>
        <a:p>
          <a:pPr marL="0" indent="0" algn="l"/>
          <a:b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</a:br>
          <a:fld id="{860648BE-24C4-451C-BCC8-44107F0D2C0E}" type="TxLink"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pPr marL="0" indent="0" algn="l"/>
            <a:t>Focus operational review on West because it has the highest delay rate of 8.94%.</a:t>
          </a:fld>
          <a:endParaRPr lang="en-US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873128</xdr:colOff>
      <xdr:row>54</xdr:row>
      <xdr:rowOff>-1</xdr:rowOff>
    </xdr:from>
    <xdr:to>
      <xdr:col>11</xdr:col>
      <xdr:colOff>396876</xdr:colOff>
      <xdr:row>76</xdr:row>
      <xdr:rowOff>57549</xdr:rowOff>
    </xdr:to>
    <xdr:sp macro="" textlink="MIS_Summary!B25">
      <xdr:nvSpPr>
        <xdr:cNvPr id="18" name="Rectangle: Rounded Corners 17">
          <a:extLst>
            <a:ext uri="{FF2B5EF4-FFF2-40B4-BE49-F238E27FC236}">
              <a16:creationId xmlns:a16="http://schemas.microsoft.com/office/drawing/2014/main" id="{61D795C5-FA9F-4A10-8B3E-4DA4D501E1B4}"/>
            </a:ext>
          </a:extLst>
        </xdr:cNvPr>
        <xdr:cNvSpPr/>
      </xdr:nvSpPr>
      <xdr:spPr>
        <a:xfrm>
          <a:off x="7620003" y="10001249"/>
          <a:ext cx="6006040" cy="4132133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t>BUSINESS IMPACT</a:t>
          </a:r>
          <a:b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</a:br>
          <a:br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</a:br>
          <a:fld id="{074ADA4E-7C2F-4D82-8EAA-AD1E1B0ADC88}" type="TxLink">
            <a:rPr lang="en-US" sz="32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pPr marL="0" indent="0" algn="l"/>
            <a:t>North has the highest order volume with 279 orders.</a:t>
          </a:fld>
          <a:endParaRPr lang="en-IN" sz="32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39689</xdr:colOff>
      <xdr:row>0</xdr:row>
      <xdr:rowOff>122513</xdr:rowOff>
    </xdr:from>
    <xdr:to>
      <xdr:col>26</xdr:col>
      <xdr:colOff>220871</xdr:colOff>
      <xdr:row>4</xdr:row>
      <xdr:rowOff>0</xdr:rowOff>
    </xdr:to>
    <xdr:sp macro="[0]!Refresh_MIS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6DECDF86-041C-7B1A-6D97-AD46419C8E38}"/>
            </a:ext>
          </a:extLst>
        </xdr:cNvPr>
        <xdr:cNvSpPr/>
      </xdr:nvSpPr>
      <xdr:spPr>
        <a:xfrm>
          <a:off x="21629689" y="122513"/>
          <a:ext cx="5057982" cy="588687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000" b="1">
              <a:solidFill>
                <a:schemeClr val="bg1"/>
              </a:solidFill>
            </a:rPr>
            <a:t>REFRESH MIS</a:t>
          </a:r>
        </a:p>
      </xdr:txBody>
    </xdr:sp>
    <xdr:clientData/>
  </xdr:twoCellAnchor>
  <xdr:twoCellAnchor>
    <xdr:from>
      <xdr:col>18</xdr:col>
      <xdr:colOff>101600</xdr:colOff>
      <xdr:row>5</xdr:row>
      <xdr:rowOff>127000</xdr:rowOff>
    </xdr:from>
    <xdr:to>
      <xdr:col>26</xdr:col>
      <xdr:colOff>177800</xdr:colOff>
      <xdr:row>13</xdr:row>
      <xdr:rowOff>127000</xdr:rowOff>
    </xdr:to>
    <xdr:sp macro="" textlink="MIS_Summary!B27">
      <xdr:nvSpPr>
        <xdr:cNvPr id="21" name="Rectangle: Rounded Corners 20">
          <a:extLst>
            <a:ext uri="{FF2B5EF4-FFF2-40B4-BE49-F238E27FC236}">
              <a16:creationId xmlns:a16="http://schemas.microsoft.com/office/drawing/2014/main" id="{D69DEF86-6AF9-0968-5E76-4DAD8D0447C4}"/>
            </a:ext>
          </a:extLst>
        </xdr:cNvPr>
        <xdr:cNvSpPr/>
      </xdr:nvSpPr>
      <xdr:spPr>
        <a:xfrm>
          <a:off x="21691600" y="1016000"/>
          <a:ext cx="4953000" cy="1422400"/>
        </a:xfrm>
        <a:prstGeom prst="roundRect">
          <a:avLst/>
        </a:prstGeom>
        <a:solidFill>
          <a:srgbClr val="002060"/>
        </a:solidFill>
        <a:ln/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IN" sz="3600" b="1"/>
            <a:t>Last Updated:</a:t>
          </a:r>
        </a:p>
        <a:p>
          <a:pPr algn="ctr"/>
          <a:r>
            <a:rPr lang="en-IN" sz="3600" b="1"/>
            <a:t>06-Oct-2026 19:05</a:t>
          </a:r>
          <a:endParaRPr lang="en-IN" sz="3600" b="1">
            <a:solidFill>
              <a:schemeClr val="bg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8EDA8B4-8F5E-40EB-9F5E-41CB394F27E9}" autoFormatId="16" applyNumberFormats="0" applyBorderFormats="0" applyFontFormats="0" applyPatternFormats="0" applyAlignmentFormats="0" applyWidthHeightFormats="0">
  <queryTableRefresh nextId="12">
    <queryTableFields count="11">
      <queryTableField id="1" name="Order_ID" tableColumnId="1"/>
      <queryTableField id="2" name="Order_Date" tableColumnId="2"/>
      <queryTableField id="3" name="Region" tableColumnId="3"/>
      <queryTableField id="4" name="Warehouse" tableColumnId="4"/>
      <queryTableField id="5" name="Product" tableColumnId="5"/>
      <queryTableField id="6" name="Quantity" tableColumnId="6"/>
      <queryTableField id="7" name="Order_Status" tableColumnId="7"/>
      <queryTableField id="8" name="Expected_Dispatch_Date" tableColumnId="8"/>
      <queryTableField id="9" name="Actual_Dispatch_Date" tableColumnId="9"/>
      <queryTableField id="10" name="Dispatch_Delay_Days" tableColumnId="10"/>
      <queryTableField id="11" name="Dispatch_Performanc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8382210-C781-4151-BC4B-E2B2CF930876}" autoFormatId="16" applyNumberFormats="0" applyBorderFormats="0" applyFontFormats="0" applyPatternFormats="0" applyAlignmentFormats="0" applyWidthHeightFormats="0">
  <queryTableRefresh nextId="9">
    <queryTableFields count="8">
      <queryTableField id="1" name="Product" tableColumnId="1"/>
      <queryTableField id="2" name="Warehouse" tableColumnId="2"/>
      <queryTableField id="3" name="Opening_Stock" tableColumnId="3"/>
      <queryTableField id="4" name="Stock_In" tableColumnId="4"/>
      <queryTableField id="5" name="Stock_Out" tableColumnId="5"/>
      <queryTableField id="6" name="Closing_Stock" tableColumnId="6"/>
      <queryTableField id="7" name="Reorder_Level" tableColumnId="7"/>
      <queryTableField id="8" name="Stock_Stat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01421C8-E571-47EB-B18D-AFA636B62ED2}" autoFormatId="16" applyNumberFormats="0" applyBorderFormats="0" applyFontFormats="0" applyPatternFormats="0" applyAlignmentFormats="0" applyWidthHeightFormats="0">
  <queryTableRefresh nextId="10">
    <queryTableFields count="9">
      <queryTableField id="1" name="Purchase_ID" tableColumnId="1"/>
      <queryTableField id="2" name="Purchase_Date" tableColumnId="2"/>
      <queryTableField id="3" name="Supplier" tableColumnId="3"/>
      <queryTableField id="4" name="Warehouse" tableColumnId="4"/>
      <queryTableField id="5" name="Product" tableColumnId="5"/>
      <queryTableField id="6" name="Quantity" tableColumnId="6"/>
      <queryTableField id="7" name="Purchase_Value" tableColumnId="7"/>
      <queryTableField id="8" name="Unit_Cost" tableColumnId="8"/>
      <queryTableField id="9" name="Purchase_Month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01E236-28EC-44EA-9C27-AABE62A1A858}" name="qry_Orders" displayName="qry_Orders" ref="A1:K1001" tableType="queryTable" totalsRowShown="0">
  <autoFilter ref="A1:K1001" xr:uid="{EA01E236-28EC-44EA-9C27-AABE62A1A858}"/>
  <tableColumns count="11">
    <tableColumn id="1" xr3:uid="{42C827E8-4B0E-461D-8AC6-E371AB78E0BB}" uniqueName="1" name="Order_ID" queryTableFieldId="1" dataDxfId="28"/>
    <tableColumn id="2" xr3:uid="{E2DDA284-920E-47CE-ABFE-74523E622CB8}" uniqueName="2" name="Order_Date" queryTableFieldId="2" dataDxfId="27"/>
    <tableColumn id="3" xr3:uid="{D3298F8C-2C16-4692-AE07-6A24DAF52355}" uniqueName="3" name="Region" queryTableFieldId="3" dataDxfId="26"/>
    <tableColumn id="4" xr3:uid="{19E82E52-17D1-4A6D-944A-6EA86052C7C7}" uniqueName="4" name="Warehouse" queryTableFieldId="4" dataDxfId="25"/>
    <tableColumn id="5" xr3:uid="{6C34C271-1078-4A2C-8776-AE2AFC4EB63C}" uniqueName="5" name="Product" queryTableFieldId="5" dataDxfId="24"/>
    <tableColumn id="6" xr3:uid="{D2574A8F-E57D-4BBF-AAAB-B7D7C5C70DDF}" uniqueName="6" name="Quantity" queryTableFieldId="6"/>
    <tableColumn id="7" xr3:uid="{E5B12C92-31DA-4644-B9D0-1F653A5DA3E8}" uniqueName="7" name="Order_Status" queryTableFieldId="7" dataDxfId="23"/>
    <tableColumn id="8" xr3:uid="{E355766E-8DC4-425E-B0B4-B4027D5F6A6F}" uniqueName="8" name="Expected_Dispatch_Date" queryTableFieldId="8" dataDxfId="22"/>
    <tableColumn id="9" xr3:uid="{EE169661-9724-4433-B861-7CBC0BBF0781}" uniqueName="9" name="Actual_Dispatch_Date" queryTableFieldId="9" dataDxfId="21"/>
    <tableColumn id="10" xr3:uid="{FFB8E147-1BF8-4689-9AE8-6507FB516BD6}" uniqueName="10" name="Dispatch_Delay_Days" queryTableFieldId="10"/>
    <tableColumn id="11" xr3:uid="{21C3625E-95B1-403B-AB29-7799FA5C8E09}" uniqueName="11" name="Dispatch_Performance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D01B6-5B1D-45F8-B84F-8644912CA4CE}" name="tbl_Orders" displayName="tbl_Orders" ref="A1:I1001" totalsRowShown="0" headerRowDxfId="20" headerRowBorderDxfId="19" tableBorderDxfId="18">
  <autoFilter ref="A1:I1001" xr:uid="{6F1D01B6-5B1D-45F8-B84F-8644912CA4CE}"/>
  <tableColumns count="9">
    <tableColumn id="1" xr3:uid="{A793DD63-6CC9-4506-8B58-938553AC427D}" name="Order_ID"/>
    <tableColumn id="2" xr3:uid="{D22D0E82-B612-4D84-B5A3-297C900CC039}" name="Order_Date" dataDxfId="3"/>
    <tableColumn id="3" xr3:uid="{1D9D926F-BF72-413C-8365-7AFD028F26D7}" name="Region"/>
    <tableColumn id="4" xr3:uid="{F2C63989-2100-486D-90BB-1DA46C9356D9}" name="Warehouse"/>
    <tableColumn id="5" xr3:uid="{4C15CAC1-8B7D-4CEF-9E5C-4A3B2C3FF99C}" name="Product"/>
    <tableColumn id="6" xr3:uid="{649C6946-0575-48B7-9C62-BCCD97573304}" name="Quantity"/>
    <tableColumn id="7" xr3:uid="{EFF0F3EC-0B36-4E8E-8D7C-2AC87923F508}" name="Order_Status"/>
    <tableColumn id="8" xr3:uid="{26ABAF38-BF94-4ECC-9E30-A8956A17DD42}" name="Expected_Dispatch_Date" dataDxfId="1"/>
    <tableColumn id="9" xr3:uid="{4E446624-B2F4-4170-8E52-4B38B48D5EE8}" name="Actual_Dispatch_Date" dataDxf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C364A2-6F3F-4F63-98C4-FFFA84F26B6C}" name="qry_Inventory" displayName="qry_Inventory" ref="A1:H33" tableType="queryTable" totalsRowShown="0">
  <autoFilter ref="A1:H33" xr:uid="{83C364A2-6F3F-4F63-98C4-FFFA84F26B6C}"/>
  <tableColumns count="8">
    <tableColumn id="1" xr3:uid="{31960C06-AF51-4A76-B26C-6AF8A73035A5}" uniqueName="1" name="Product" queryTableFieldId="1" dataDxfId="17"/>
    <tableColumn id="2" xr3:uid="{6F7735FC-125E-461B-BFFE-CE3F5D40B42D}" uniqueName="2" name="Warehouse" queryTableFieldId="2" dataDxfId="16"/>
    <tableColumn id="3" xr3:uid="{C4F947CA-7811-4AC0-B085-C5E43134779A}" uniqueName="3" name="Opening_Stock" queryTableFieldId="3"/>
    <tableColumn id="4" xr3:uid="{B56F8083-B668-4E12-B8D2-D669A9AF7835}" uniqueName="4" name="Stock_In" queryTableFieldId="4"/>
    <tableColumn id="5" xr3:uid="{FC597715-7AE2-45CA-9602-09637EB6E2FC}" uniqueName="5" name="Stock_Out" queryTableFieldId="5"/>
    <tableColumn id="6" xr3:uid="{B4FF9A94-B40E-4CB1-BE7B-A401FAFD3754}" uniqueName="6" name="Closing_Stock" queryTableFieldId="6"/>
    <tableColumn id="7" xr3:uid="{5A6DFF9B-0A19-410E-8296-175D9EA7BF54}" uniqueName="7" name="Reorder_Level" queryTableFieldId="7"/>
    <tableColumn id="8" xr3:uid="{B1EF835B-6092-4E5B-98EC-746FDDF89ACE}" uniqueName="8" name="Stock_Stat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B6BC4-B11E-4786-A9C8-549A49E9971B}" name="tbl_Inventory" displayName="tbl_Inventory" ref="A1:G33" totalsRowShown="0" headerRowDxfId="15" headerRowBorderDxfId="14" tableBorderDxfId="13">
  <autoFilter ref="A1:G33" xr:uid="{768B6BC4-B11E-4786-A9C8-549A49E9971B}"/>
  <tableColumns count="7">
    <tableColumn id="1" xr3:uid="{4A612E45-A16A-4A72-80A0-824721C74DC5}" name="Product"/>
    <tableColumn id="2" xr3:uid="{2F072F7C-316A-4186-A3B0-1B9A0DC84F76}" name="Warehouse"/>
    <tableColumn id="3" xr3:uid="{DDFE943A-CA3E-443A-A836-76A2BAEA4BA6}" name="Opening_Stock"/>
    <tableColumn id="4" xr3:uid="{20FC88D8-669B-44AC-8A24-EF83AB706225}" name="Stock_In"/>
    <tableColumn id="5" xr3:uid="{E0EF8624-DDFA-45B6-AE6D-BED2C610DD95}" name="Stock_Out"/>
    <tableColumn id="6" xr3:uid="{597E607D-C17E-42FC-96DC-E80A1A231163}" name="Closing_Stock"/>
    <tableColumn id="7" xr3:uid="{961BB349-7C34-4D1A-9D7A-5331C156CEDF}" name="Reorder_Level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CFC701-1473-4234-8763-A8D591E3C4C1}" name="qry_Purchase" displayName="qry_Purchase" ref="A1:I301" tableType="queryTable" totalsRowShown="0">
  <autoFilter ref="A1:I301" xr:uid="{4BCFC701-1473-4234-8763-A8D591E3C4C1}"/>
  <tableColumns count="9">
    <tableColumn id="1" xr3:uid="{3CD5DA9B-2190-4B34-9C46-F36A47DA666E}" uniqueName="1" name="Purchase_ID" queryTableFieldId="1" dataDxfId="12"/>
    <tableColumn id="2" xr3:uid="{1919FD8E-C4F4-4884-A30D-0B371D94A7DE}" uniqueName="2" name="Purchase_Date" queryTableFieldId="2" dataDxfId="11"/>
    <tableColumn id="3" xr3:uid="{60507CFE-261D-4391-A5C2-32A08B7A4A38}" uniqueName="3" name="Supplier" queryTableFieldId="3" dataDxfId="10"/>
    <tableColumn id="4" xr3:uid="{79EC4C69-80F9-48F8-B33E-63547D220C08}" uniqueName="4" name="Warehouse" queryTableFieldId="4" dataDxfId="9"/>
    <tableColumn id="5" xr3:uid="{38C2576F-EDB1-48BD-BCF5-675F04893907}" uniqueName="5" name="Product" queryTableFieldId="5" dataDxfId="8"/>
    <tableColumn id="6" xr3:uid="{30040AFA-82D4-46A8-B5E4-16BF6E9F9276}" uniqueName="6" name="Quantity" queryTableFieldId="6"/>
    <tableColumn id="7" xr3:uid="{15091230-FBE6-4074-8135-70C3C1E26A45}" uniqueName="7" name="Purchase_Value" queryTableFieldId="7"/>
    <tableColumn id="8" xr3:uid="{A8DEE29A-7CCB-474B-9E26-DB347D11CF03}" uniqueName="8" name="Unit_Cost" queryTableFieldId="8"/>
    <tableColumn id="9" xr3:uid="{C3E16ED6-2904-477E-8120-29ED6165890A}" uniqueName="9" name="Purchase_Month" queryTableFieldId="9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19AF8-0F73-4CF9-82CD-8D0E5C32C284}" name="tbl_Purchase" displayName="tbl_Purchase" ref="A1:G301" totalsRowShown="0" headerRowDxfId="6" headerRowBorderDxfId="5" tableBorderDxfId="4">
  <autoFilter ref="A1:G301" xr:uid="{CCB19AF8-0F73-4CF9-82CD-8D0E5C32C284}"/>
  <tableColumns count="7">
    <tableColumn id="1" xr3:uid="{C473964F-83A3-4E47-88EB-E07C008349D2}" name="Purchase_ID"/>
    <tableColumn id="2" xr3:uid="{6B6EE208-4307-4266-8308-400D311EF120}" name="Purchase_Date" dataDxfId="0"/>
    <tableColumn id="3" xr3:uid="{3EA20042-9515-43CC-B14C-409B1E9996BD}" name="Supplier"/>
    <tableColumn id="4" xr3:uid="{750303A2-F6C6-482A-9E37-544EF5CFE710}" name="Warehouse"/>
    <tableColumn id="5" xr3:uid="{DDF323FE-6DDF-4594-9333-0B0073CA4609}" name="Product"/>
    <tableColumn id="6" xr3:uid="{E33B457F-145C-46E6-BF15-A9F99F11FDB2}" name="Quantity"/>
    <tableColumn id="7" xr3:uid="{B59C82F4-744C-44D6-AAAC-36B6D44A6D97}" name="Purchase_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2BC56-8FF2-472B-BA64-5DB69946325D}">
  <sheetPr codeName="Sheet1"/>
  <dimension ref="A1:K1001"/>
  <sheetViews>
    <sheetView workbookViewId="0">
      <selection activeCell="C2" sqref="C2"/>
    </sheetView>
  </sheetViews>
  <sheetFormatPr defaultRowHeight="14.5" x14ac:dyDescent="0.35"/>
  <cols>
    <col min="1" max="1" width="10.81640625" bestFit="1" customWidth="1"/>
    <col min="2" max="2" width="13" bestFit="1" customWidth="1"/>
    <col min="4" max="4" width="12.7265625" bestFit="1" customWidth="1"/>
    <col min="5" max="5" width="9.7265625" bestFit="1" customWidth="1"/>
    <col min="6" max="6" width="10.453125" bestFit="1" customWidth="1"/>
    <col min="7" max="7" width="14.26953125" bestFit="1" customWidth="1"/>
    <col min="8" max="8" width="24.26953125" bestFit="1" customWidth="1"/>
    <col min="9" max="9" width="21.81640625" bestFit="1" customWidth="1"/>
    <col min="10" max="10" width="21.1796875" bestFit="1" customWidth="1"/>
    <col min="11" max="11" width="22.363281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1342</v>
      </c>
      <c r="K1" t="s">
        <v>1343</v>
      </c>
    </row>
    <row r="2" spans="1:11" x14ac:dyDescent="0.35">
      <c r="A2" t="s">
        <v>9</v>
      </c>
      <c r="B2" s="2">
        <v>46164</v>
      </c>
      <c r="C2" t="s">
        <v>10</v>
      </c>
      <c r="D2" t="s">
        <v>11</v>
      </c>
      <c r="E2" t="s">
        <v>12</v>
      </c>
      <c r="F2">
        <v>9</v>
      </c>
      <c r="G2" t="s">
        <v>13</v>
      </c>
      <c r="H2" s="2">
        <v>46168</v>
      </c>
      <c r="I2" s="2">
        <v>46167</v>
      </c>
      <c r="J2">
        <v>-1</v>
      </c>
      <c r="K2" t="s">
        <v>1344</v>
      </c>
    </row>
    <row r="3" spans="1:11" x14ac:dyDescent="0.35">
      <c r="A3" t="s">
        <v>14</v>
      </c>
      <c r="B3" s="2">
        <v>46127</v>
      </c>
      <c r="C3" t="s">
        <v>15</v>
      </c>
      <c r="D3" t="s">
        <v>16</v>
      </c>
      <c r="E3" t="s">
        <v>17</v>
      </c>
      <c r="F3">
        <v>1</v>
      </c>
      <c r="G3" t="s">
        <v>13</v>
      </c>
      <c r="H3" s="2">
        <v>46129</v>
      </c>
      <c r="I3" s="2">
        <v>46129</v>
      </c>
      <c r="J3">
        <v>0</v>
      </c>
      <c r="K3" t="s">
        <v>1344</v>
      </c>
    </row>
    <row r="4" spans="1:11" x14ac:dyDescent="0.35">
      <c r="A4" t="s">
        <v>18</v>
      </c>
      <c r="B4" s="2">
        <v>46184</v>
      </c>
      <c r="C4" t="s">
        <v>19</v>
      </c>
      <c r="D4" t="s">
        <v>20</v>
      </c>
      <c r="E4" t="s">
        <v>17</v>
      </c>
      <c r="F4">
        <v>24</v>
      </c>
      <c r="G4" t="s">
        <v>13</v>
      </c>
      <c r="H4" s="2">
        <v>46188</v>
      </c>
      <c r="I4" s="2">
        <v>46187</v>
      </c>
      <c r="J4">
        <v>-1</v>
      </c>
      <c r="K4" t="s">
        <v>1344</v>
      </c>
    </row>
    <row r="5" spans="1:11" x14ac:dyDescent="0.35">
      <c r="A5" t="s">
        <v>21</v>
      </c>
      <c r="B5" s="2">
        <v>46173</v>
      </c>
      <c r="C5" t="s">
        <v>19</v>
      </c>
      <c r="D5" t="s">
        <v>20</v>
      </c>
      <c r="E5" t="s">
        <v>22</v>
      </c>
      <c r="F5">
        <v>20</v>
      </c>
      <c r="G5" t="s">
        <v>13</v>
      </c>
      <c r="H5" s="2">
        <v>46175</v>
      </c>
      <c r="I5" s="2">
        <v>46174</v>
      </c>
      <c r="J5">
        <v>-1</v>
      </c>
      <c r="K5" t="s">
        <v>1344</v>
      </c>
    </row>
    <row r="6" spans="1:11" x14ac:dyDescent="0.35">
      <c r="A6" t="s">
        <v>23</v>
      </c>
      <c r="B6" s="2">
        <v>46133</v>
      </c>
      <c r="C6" t="s">
        <v>10</v>
      </c>
      <c r="D6" t="s">
        <v>11</v>
      </c>
      <c r="E6" t="s">
        <v>24</v>
      </c>
      <c r="F6">
        <v>25</v>
      </c>
      <c r="G6" t="s">
        <v>13</v>
      </c>
      <c r="H6" s="2">
        <v>46137</v>
      </c>
      <c r="I6" s="2">
        <v>46137</v>
      </c>
      <c r="J6">
        <v>0</v>
      </c>
      <c r="K6" t="s">
        <v>1344</v>
      </c>
    </row>
    <row r="7" spans="1:11" x14ac:dyDescent="0.35">
      <c r="A7" t="s">
        <v>25</v>
      </c>
      <c r="B7" s="2">
        <v>46195</v>
      </c>
      <c r="C7" t="s">
        <v>19</v>
      </c>
      <c r="D7" t="s">
        <v>20</v>
      </c>
      <c r="E7" t="s">
        <v>22</v>
      </c>
      <c r="F7">
        <v>14</v>
      </c>
      <c r="G7" t="s">
        <v>26</v>
      </c>
      <c r="H7" s="2">
        <v>46196</v>
      </c>
      <c r="I7" s="2"/>
      <c r="K7" t="s">
        <v>26</v>
      </c>
    </row>
    <row r="8" spans="1:11" x14ac:dyDescent="0.35">
      <c r="A8" t="s">
        <v>27</v>
      </c>
      <c r="B8" s="2">
        <v>46199</v>
      </c>
      <c r="C8" t="s">
        <v>19</v>
      </c>
      <c r="D8" t="s">
        <v>20</v>
      </c>
      <c r="E8" t="s">
        <v>22</v>
      </c>
      <c r="F8">
        <v>11</v>
      </c>
      <c r="G8" t="s">
        <v>13</v>
      </c>
      <c r="H8" s="2">
        <v>46202</v>
      </c>
      <c r="I8" s="2">
        <v>46202</v>
      </c>
      <c r="J8">
        <v>0</v>
      </c>
      <c r="K8" t="s">
        <v>1344</v>
      </c>
    </row>
    <row r="9" spans="1:11" x14ac:dyDescent="0.35">
      <c r="A9" t="s">
        <v>28</v>
      </c>
      <c r="B9" s="2">
        <v>46187</v>
      </c>
      <c r="C9" t="s">
        <v>15</v>
      </c>
      <c r="D9" t="s">
        <v>16</v>
      </c>
      <c r="E9" t="s">
        <v>12</v>
      </c>
      <c r="F9">
        <v>21</v>
      </c>
      <c r="G9" t="s">
        <v>13</v>
      </c>
      <c r="H9" s="2">
        <v>46190</v>
      </c>
      <c r="I9" s="2">
        <v>46189</v>
      </c>
      <c r="J9">
        <v>-1</v>
      </c>
      <c r="K9" t="s">
        <v>1344</v>
      </c>
    </row>
    <row r="10" spans="1:11" x14ac:dyDescent="0.35">
      <c r="A10" t="s">
        <v>29</v>
      </c>
      <c r="B10" s="2">
        <v>46187</v>
      </c>
      <c r="C10" t="s">
        <v>15</v>
      </c>
      <c r="D10" t="s">
        <v>16</v>
      </c>
      <c r="E10" t="s">
        <v>17</v>
      </c>
      <c r="F10">
        <v>3</v>
      </c>
      <c r="G10" t="s">
        <v>13</v>
      </c>
      <c r="H10" s="2">
        <v>46188</v>
      </c>
      <c r="I10" s="2">
        <v>46187</v>
      </c>
      <c r="J10">
        <v>-1</v>
      </c>
      <c r="K10" t="s">
        <v>1344</v>
      </c>
    </row>
    <row r="11" spans="1:11" x14ac:dyDescent="0.35">
      <c r="A11" t="s">
        <v>30</v>
      </c>
      <c r="B11" s="2">
        <v>46200</v>
      </c>
      <c r="C11" t="s">
        <v>10</v>
      </c>
      <c r="D11" t="s">
        <v>11</v>
      </c>
      <c r="E11" t="s">
        <v>24</v>
      </c>
      <c r="F11">
        <v>9</v>
      </c>
      <c r="G11" t="s">
        <v>13</v>
      </c>
      <c r="H11" s="2">
        <v>46202</v>
      </c>
      <c r="I11" s="2">
        <v>46201</v>
      </c>
      <c r="J11">
        <v>-1</v>
      </c>
      <c r="K11" t="s">
        <v>1344</v>
      </c>
    </row>
    <row r="12" spans="1:11" x14ac:dyDescent="0.35">
      <c r="A12" t="s">
        <v>31</v>
      </c>
      <c r="B12" s="2">
        <v>46136</v>
      </c>
      <c r="C12" t="s">
        <v>19</v>
      </c>
      <c r="D12" t="s">
        <v>20</v>
      </c>
      <c r="E12" t="s">
        <v>32</v>
      </c>
      <c r="F12">
        <v>27</v>
      </c>
      <c r="G12" t="s">
        <v>26</v>
      </c>
      <c r="H12" s="2">
        <v>46138</v>
      </c>
      <c r="I12" s="2"/>
      <c r="K12" t="s">
        <v>26</v>
      </c>
    </row>
    <row r="13" spans="1:11" x14ac:dyDescent="0.35">
      <c r="A13" t="s">
        <v>33</v>
      </c>
      <c r="B13" s="2">
        <v>46115</v>
      </c>
      <c r="C13" t="s">
        <v>34</v>
      </c>
      <c r="D13" t="s">
        <v>35</v>
      </c>
      <c r="E13" t="s">
        <v>12</v>
      </c>
      <c r="F13">
        <v>14</v>
      </c>
      <c r="G13" t="s">
        <v>13</v>
      </c>
      <c r="H13" s="2">
        <v>46117</v>
      </c>
      <c r="I13" s="2">
        <v>46116</v>
      </c>
      <c r="J13">
        <v>-1</v>
      </c>
      <c r="K13" t="s">
        <v>1344</v>
      </c>
    </row>
    <row r="14" spans="1:11" x14ac:dyDescent="0.35">
      <c r="A14" t="s">
        <v>36</v>
      </c>
      <c r="B14" s="2">
        <v>46134</v>
      </c>
      <c r="C14" t="s">
        <v>10</v>
      </c>
      <c r="D14" t="s">
        <v>11</v>
      </c>
      <c r="E14" t="s">
        <v>22</v>
      </c>
      <c r="F14">
        <v>30</v>
      </c>
      <c r="G14" t="s">
        <v>13</v>
      </c>
      <c r="H14" s="2">
        <v>46135</v>
      </c>
      <c r="I14" s="2">
        <v>46135</v>
      </c>
      <c r="J14">
        <v>0</v>
      </c>
      <c r="K14" t="s">
        <v>1344</v>
      </c>
    </row>
    <row r="15" spans="1:11" x14ac:dyDescent="0.35">
      <c r="A15" t="s">
        <v>37</v>
      </c>
      <c r="B15" s="2">
        <v>46165</v>
      </c>
      <c r="C15" t="s">
        <v>10</v>
      </c>
      <c r="D15" t="s">
        <v>11</v>
      </c>
      <c r="E15" t="s">
        <v>22</v>
      </c>
      <c r="F15">
        <v>9</v>
      </c>
      <c r="G15" t="s">
        <v>13</v>
      </c>
      <c r="H15" s="2">
        <v>46167</v>
      </c>
      <c r="I15" s="2">
        <v>46167</v>
      </c>
      <c r="J15">
        <v>0</v>
      </c>
      <c r="K15" t="s">
        <v>1344</v>
      </c>
    </row>
    <row r="16" spans="1:11" x14ac:dyDescent="0.35">
      <c r="A16" t="s">
        <v>38</v>
      </c>
      <c r="B16" s="2">
        <v>46114</v>
      </c>
      <c r="C16" t="s">
        <v>34</v>
      </c>
      <c r="D16" t="s">
        <v>35</v>
      </c>
      <c r="E16" t="s">
        <v>32</v>
      </c>
      <c r="F16">
        <v>4</v>
      </c>
      <c r="G16" t="s">
        <v>13</v>
      </c>
      <c r="H16" s="2">
        <v>46115</v>
      </c>
      <c r="I16" s="2">
        <v>46115</v>
      </c>
      <c r="J16">
        <v>0</v>
      </c>
      <c r="K16" t="s">
        <v>1344</v>
      </c>
    </row>
    <row r="17" spans="1:11" x14ac:dyDescent="0.35">
      <c r="A17" t="s">
        <v>39</v>
      </c>
      <c r="B17" s="2">
        <v>46200</v>
      </c>
      <c r="C17" t="s">
        <v>10</v>
      </c>
      <c r="D17" t="s">
        <v>11</v>
      </c>
      <c r="E17" t="s">
        <v>22</v>
      </c>
      <c r="F17">
        <v>27</v>
      </c>
      <c r="G17" t="s">
        <v>13</v>
      </c>
      <c r="H17" s="2">
        <v>46204</v>
      </c>
      <c r="I17" s="2">
        <v>46203</v>
      </c>
      <c r="J17">
        <v>-1</v>
      </c>
      <c r="K17" t="s">
        <v>1344</v>
      </c>
    </row>
    <row r="18" spans="1:11" x14ac:dyDescent="0.35">
      <c r="A18" t="s">
        <v>40</v>
      </c>
      <c r="B18" s="2">
        <v>46142</v>
      </c>
      <c r="C18" t="s">
        <v>19</v>
      </c>
      <c r="D18" t="s">
        <v>20</v>
      </c>
      <c r="E18" t="s">
        <v>22</v>
      </c>
      <c r="F18">
        <v>4</v>
      </c>
      <c r="G18" t="s">
        <v>13</v>
      </c>
      <c r="H18" s="2">
        <v>46146</v>
      </c>
      <c r="I18" s="2">
        <v>46145</v>
      </c>
      <c r="J18">
        <v>-1</v>
      </c>
      <c r="K18" t="s">
        <v>1344</v>
      </c>
    </row>
    <row r="19" spans="1:11" x14ac:dyDescent="0.35">
      <c r="A19" t="s">
        <v>41</v>
      </c>
      <c r="B19" s="2">
        <v>46150</v>
      </c>
      <c r="C19" t="s">
        <v>10</v>
      </c>
      <c r="D19" t="s">
        <v>11</v>
      </c>
      <c r="E19" t="s">
        <v>22</v>
      </c>
      <c r="F19">
        <v>28</v>
      </c>
      <c r="G19" t="s">
        <v>13</v>
      </c>
      <c r="H19" s="2">
        <v>46151</v>
      </c>
      <c r="I19" s="2">
        <v>46151</v>
      </c>
      <c r="J19">
        <v>0</v>
      </c>
      <c r="K19" t="s">
        <v>1344</v>
      </c>
    </row>
    <row r="20" spans="1:11" x14ac:dyDescent="0.35">
      <c r="A20" t="s">
        <v>42</v>
      </c>
      <c r="B20" s="2">
        <v>46114</v>
      </c>
      <c r="C20" t="s">
        <v>34</v>
      </c>
      <c r="D20" t="s">
        <v>35</v>
      </c>
      <c r="E20" t="s">
        <v>43</v>
      </c>
      <c r="F20">
        <v>8</v>
      </c>
      <c r="G20" t="s">
        <v>26</v>
      </c>
      <c r="H20" s="2">
        <v>46117</v>
      </c>
      <c r="I20" s="2"/>
      <c r="K20" t="s">
        <v>26</v>
      </c>
    </row>
    <row r="21" spans="1:11" x14ac:dyDescent="0.35">
      <c r="A21" t="s">
        <v>44</v>
      </c>
      <c r="B21" s="2">
        <v>46176</v>
      </c>
      <c r="C21" t="s">
        <v>34</v>
      </c>
      <c r="D21" t="s">
        <v>35</v>
      </c>
      <c r="E21" t="s">
        <v>12</v>
      </c>
      <c r="F21">
        <v>2</v>
      </c>
      <c r="G21" t="s">
        <v>13</v>
      </c>
      <c r="H21" s="2">
        <v>46180</v>
      </c>
      <c r="I21" s="2">
        <v>46180</v>
      </c>
      <c r="J21">
        <v>0</v>
      </c>
      <c r="K21" t="s">
        <v>1344</v>
      </c>
    </row>
    <row r="22" spans="1:11" x14ac:dyDescent="0.35">
      <c r="A22" t="s">
        <v>45</v>
      </c>
      <c r="B22" s="2">
        <v>46172</v>
      </c>
      <c r="C22" t="s">
        <v>10</v>
      </c>
      <c r="D22" t="s">
        <v>11</v>
      </c>
      <c r="E22" t="s">
        <v>46</v>
      </c>
      <c r="F22">
        <v>9</v>
      </c>
      <c r="G22" t="s">
        <v>26</v>
      </c>
      <c r="H22" s="2">
        <v>46174</v>
      </c>
      <c r="I22" s="2"/>
      <c r="K22" t="s">
        <v>26</v>
      </c>
    </row>
    <row r="23" spans="1:11" x14ac:dyDescent="0.35">
      <c r="A23" t="s">
        <v>47</v>
      </c>
      <c r="B23" s="2">
        <v>46133</v>
      </c>
      <c r="C23" t="s">
        <v>34</v>
      </c>
      <c r="D23" t="s">
        <v>35</v>
      </c>
      <c r="E23" t="s">
        <v>12</v>
      </c>
      <c r="F23">
        <v>29</v>
      </c>
      <c r="G23" t="s">
        <v>26</v>
      </c>
      <c r="H23" s="2">
        <v>46134</v>
      </c>
      <c r="I23" s="2"/>
      <c r="K23" t="s">
        <v>26</v>
      </c>
    </row>
    <row r="24" spans="1:11" x14ac:dyDescent="0.35">
      <c r="A24" t="s">
        <v>48</v>
      </c>
      <c r="B24" s="2">
        <v>46145</v>
      </c>
      <c r="C24" t="s">
        <v>34</v>
      </c>
      <c r="D24" t="s">
        <v>35</v>
      </c>
      <c r="E24" t="s">
        <v>32</v>
      </c>
      <c r="F24">
        <v>14</v>
      </c>
      <c r="G24" t="s">
        <v>26</v>
      </c>
      <c r="H24" s="2">
        <v>46147</v>
      </c>
      <c r="I24" s="2"/>
      <c r="K24" t="s">
        <v>26</v>
      </c>
    </row>
    <row r="25" spans="1:11" x14ac:dyDescent="0.35">
      <c r="A25" t="s">
        <v>49</v>
      </c>
      <c r="B25" s="2">
        <v>46188</v>
      </c>
      <c r="C25" t="s">
        <v>34</v>
      </c>
      <c r="D25" t="s">
        <v>35</v>
      </c>
      <c r="E25" t="s">
        <v>22</v>
      </c>
      <c r="F25">
        <v>22</v>
      </c>
      <c r="G25" t="s">
        <v>13</v>
      </c>
      <c r="H25" s="2">
        <v>46190</v>
      </c>
      <c r="I25" s="2">
        <v>46189</v>
      </c>
      <c r="J25">
        <v>-1</v>
      </c>
      <c r="K25" t="s">
        <v>1344</v>
      </c>
    </row>
    <row r="26" spans="1:11" x14ac:dyDescent="0.35">
      <c r="A26" t="s">
        <v>50</v>
      </c>
      <c r="B26" s="2">
        <v>46170</v>
      </c>
      <c r="C26" t="s">
        <v>15</v>
      </c>
      <c r="D26" t="s">
        <v>16</v>
      </c>
      <c r="E26" t="s">
        <v>12</v>
      </c>
      <c r="F26">
        <v>9</v>
      </c>
      <c r="G26" t="s">
        <v>13</v>
      </c>
      <c r="H26" s="2">
        <v>46173</v>
      </c>
      <c r="I26" s="2">
        <v>46172</v>
      </c>
      <c r="J26">
        <v>-1</v>
      </c>
      <c r="K26" t="s">
        <v>1344</v>
      </c>
    </row>
    <row r="27" spans="1:11" x14ac:dyDescent="0.35">
      <c r="A27" t="s">
        <v>51</v>
      </c>
      <c r="B27" s="2">
        <v>46134</v>
      </c>
      <c r="C27" t="s">
        <v>15</v>
      </c>
      <c r="D27" t="s">
        <v>16</v>
      </c>
      <c r="E27" t="s">
        <v>43</v>
      </c>
      <c r="F27">
        <v>24</v>
      </c>
      <c r="G27" t="s">
        <v>26</v>
      </c>
      <c r="H27" s="2">
        <v>46136</v>
      </c>
      <c r="I27" s="2"/>
      <c r="K27" t="s">
        <v>26</v>
      </c>
    </row>
    <row r="28" spans="1:11" x14ac:dyDescent="0.35">
      <c r="A28" t="s">
        <v>52</v>
      </c>
      <c r="B28" s="2">
        <v>46201</v>
      </c>
      <c r="C28" t="s">
        <v>10</v>
      </c>
      <c r="D28" t="s">
        <v>11</v>
      </c>
      <c r="E28" t="s">
        <v>17</v>
      </c>
      <c r="F28">
        <v>23</v>
      </c>
      <c r="G28" t="s">
        <v>13</v>
      </c>
      <c r="H28" s="2">
        <v>46204</v>
      </c>
      <c r="I28" s="2">
        <v>46204</v>
      </c>
      <c r="J28">
        <v>0</v>
      </c>
      <c r="K28" t="s">
        <v>1344</v>
      </c>
    </row>
    <row r="29" spans="1:11" x14ac:dyDescent="0.35">
      <c r="A29" t="s">
        <v>53</v>
      </c>
      <c r="B29" s="2">
        <v>46161</v>
      </c>
      <c r="C29" t="s">
        <v>34</v>
      </c>
      <c r="D29" t="s">
        <v>35</v>
      </c>
      <c r="E29" t="s">
        <v>32</v>
      </c>
      <c r="F29">
        <v>16</v>
      </c>
      <c r="G29" t="s">
        <v>13</v>
      </c>
      <c r="H29" s="2">
        <v>46165</v>
      </c>
      <c r="I29" s="2">
        <v>46165</v>
      </c>
      <c r="J29">
        <v>0</v>
      </c>
      <c r="K29" t="s">
        <v>1344</v>
      </c>
    </row>
    <row r="30" spans="1:11" x14ac:dyDescent="0.35">
      <c r="A30" t="s">
        <v>54</v>
      </c>
      <c r="B30" s="2">
        <v>46203</v>
      </c>
      <c r="C30" t="s">
        <v>34</v>
      </c>
      <c r="D30" t="s">
        <v>35</v>
      </c>
      <c r="E30" t="s">
        <v>55</v>
      </c>
      <c r="F30">
        <v>29</v>
      </c>
      <c r="G30" t="s">
        <v>26</v>
      </c>
      <c r="H30" s="2">
        <v>46204</v>
      </c>
      <c r="I30" s="2"/>
      <c r="K30" t="s">
        <v>26</v>
      </c>
    </row>
    <row r="31" spans="1:11" x14ac:dyDescent="0.35">
      <c r="A31" t="s">
        <v>56</v>
      </c>
      <c r="B31" s="2">
        <v>46171</v>
      </c>
      <c r="C31" t="s">
        <v>10</v>
      </c>
      <c r="D31" t="s">
        <v>11</v>
      </c>
      <c r="E31" t="s">
        <v>12</v>
      </c>
      <c r="F31">
        <v>30</v>
      </c>
      <c r="G31" t="s">
        <v>26</v>
      </c>
      <c r="H31" s="2">
        <v>46173</v>
      </c>
      <c r="I31" s="2"/>
      <c r="K31" t="s">
        <v>26</v>
      </c>
    </row>
    <row r="32" spans="1:11" x14ac:dyDescent="0.35">
      <c r="A32" t="s">
        <v>57</v>
      </c>
      <c r="B32" s="2">
        <v>46154</v>
      </c>
      <c r="C32" t="s">
        <v>10</v>
      </c>
      <c r="D32" t="s">
        <v>11</v>
      </c>
      <c r="E32" t="s">
        <v>55</v>
      </c>
      <c r="F32">
        <v>17</v>
      </c>
      <c r="G32" t="s">
        <v>13</v>
      </c>
      <c r="H32" s="2">
        <v>46155</v>
      </c>
      <c r="I32" s="2">
        <v>46155</v>
      </c>
      <c r="J32">
        <v>0</v>
      </c>
      <c r="K32" t="s">
        <v>1344</v>
      </c>
    </row>
    <row r="33" spans="1:11" x14ac:dyDescent="0.35">
      <c r="A33" t="s">
        <v>58</v>
      </c>
      <c r="B33" s="2">
        <v>46172</v>
      </c>
      <c r="C33" t="s">
        <v>15</v>
      </c>
      <c r="D33" t="s">
        <v>16</v>
      </c>
      <c r="E33" t="s">
        <v>22</v>
      </c>
      <c r="F33">
        <v>16</v>
      </c>
      <c r="G33" t="s">
        <v>13</v>
      </c>
      <c r="H33" s="2">
        <v>46174</v>
      </c>
      <c r="I33" s="2">
        <v>46173</v>
      </c>
      <c r="J33">
        <v>-1</v>
      </c>
      <c r="K33" t="s">
        <v>1344</v>
      </c>
    </row>
    <row r="34" spans="1:11" x14ac:dyDescent="0.35">
      <c r="A34" t="s">
        <v>59</v>
      </c>
      <c r="B34" s="2">
        <v>46192</v>
      </c>
      <c r="C34" t="s">
        <v>19</v>
      </c>
      <c r="D34" t="s">
        <v>20</v>
      </c>
      <c r="E34" t="s">
        <v>43</v>
      </c>
      <c r="F34">
        <v>30</v>
      </c>
      <c r="G34" t="s">
        <v>13</v>
      </c>
      <c r="H34" s="2">
        <v>46193</v>
      </c>
      <c r="I34" s="2">
        <v>46192</v>
      </c>
      <c r="J34">
        <v>-1</v>
      </c>
      <c r="K34" t="s">
        <v>1344</v>
      </c>
    </row>
    <row r="35" spans="1:11" x14ac:dyDescent="0.35">
      <c r="A35" t="s">
        <v>60</v>
      </c>
      <c r="B35" s="2">
        <v>46127</v>
      </c>
      <c r="C35" t="s">
        <v>34</v>
      </c>
      <c r="D35" t="s">
        <v>35</v>
      </c>
      <c r="E35" t="s">
        <v>43</v>
      </c>
      <c r="F35">
        <v>12</v>
      </c>
      <c r="G35" t="s">
        <v>26</v>
      </c>
      <c r="H35" s="2">
        <v>46129</v>
      </c>
      <c r="I35" s="2"/>
      <c r="K35" t="s">
        <v>26</v>
      </c>
    </row>
    <row r="36" spans="1:11" x14ac:dyDescent="0.35">
      <c r="A36" t="s">
        <v>61</v>
      </c>
      <c r="B36" s="2">
        <v>46174</v>
      </c>
      <c r="C36" t="s">
        <v>10</v>
      </c>
      <c r="D36" t="s">
        <v>11</v>
      </c>
      <c r="E36" t="s">
        <v>12</v>
      </c>
      <c r="F36">
        <v>3</v>
      </c>
      <c r="G36" t="s">
        <v>62</v>
      </c>
      <c r="H36" s="2">
        <v>46176</v>
      </c>
      <c r="I36" s="2">
        <v>46180</v>
      </c>
      <c r="J36">
        <v>4</v>
      </c>
      <c r="K36" t="s">
        <v>62</v>
      </c>
    </row>
    <row r="37" spans="1:11" x14ac:dyDescent="0.35">
      <c r="A37" t="s">
        <v>63</v>
      </c>
      <c r="B37" s="2">
        <v>46174</v>
      </c>
      <c r="C37" t="s">
        <v>10</v>
      </c>
      <c r="D37" t="s">
        <v>11</v>
      </c>
      <c r="E37" t="s">
        <v>32</v>
      </c>
      <c r="F37">
        <v>11</v>
      </c>
      <c r="G37" t="s">
        <v>13</v>
      </c>
      <c r="H37" s="2">
        <v>46176</v>
      </c>
      <c r="I37" s="2">
        <v>46175</v>
      </c>
      <c r="J37">
        <v>-1</v>
      </c>
      <c r="K37" t="s">
        <v>1344</v>
      </c>
    </row>
    <row r="38" spans="1:11" x14ac:dyDescent="0.35">
      <c r="A38" t="s">
        <v>64</v>
      </c>
      <c r="B38" s="2">
        <v>46159</v>
      </c>
      <c r="C38" t="s">
        <v>19</v>
      </c>
      <c r="D38" t="s">
        <v>20</v>
      </c>
      <c r="E38" t="s">
        <v>32</v>
      </c>
      <c r="F38">
        <v>14</v>
      </c>
      <c r="G38" t="s">
        <v>13</v>
      </c>
      <c r="H38" s="2">
        <v>46161</v>
      </c>
      <c r="I38" s="2">
        <v>46160</v>
      </c>
      <c r="J38">
        <v>-1</v>
      </c>
      <c r="K38" t="s">
        <v>1344</v>
      </c>
    </row>
    <row r="39" spans="1:11" x14ac:dyDescent="0.35">
      <c r="A39" t="s">
        <v>65</v>
      </c>
      <c r="B39" s="2">
        <v>46174</v>
      </c>
      <c r="C39" t="s">
        <v>10</v>
      </c>
      <c r="D39" t="s">
        <v>11</v>
      </c>
      <c r="E39" t="s">
        <v>43</v>
      </c>
      <c r="F39">
        <v>18</v>
      </c>
      <c r="G39" t="s">
        <v>26</v>
      </c>
      <c r="H39" s="2">
        <v>46176</v>
      </c>
      <c r="I39" s="2"/>
      <c r="K39" t="s">
        <v>26</v>
      </c>
    </row>
    <row r="40" spans="1:11" x14ac:dyDescent="0.35">
      <c r="A40" t="s">
        <v>66</v>
      </c>
      <c r="B40" s="2">
        <v>46163</v>
      </c>
      <c r="C40" t="s">
        <v>10</v>
      </c>
      <c r="D40" t="s">
        <v>11</v>
      </c>
      <c r="E40" t="s">
        <v>32</v>
      </c>
      <c r="F40">
        <v>21</v>
      </c>
      <c r="G40" t="s">
        <v>13</v>
      </c>
      <c r="H40" s="2">
        <v>46165</v>
      </c>
      <c r="I40" s="2">
        <v>46164</v>
      </c>
      <c r="J40">
        <v>-1</v>
      </c>
      <c r="K40" t="s">
        <v>1344</v>
      </c>
    </row>
    <row r="41" spans="1:11" x14ac:dyDescent="0.35">
      <c r="A41" t="s">
        <v>67</v>
      </c>
      <c r="B41" s="2">
        <v>46167</v>
      </c>
      <c r="C41" t="s">
        <v>19</v>
      </c>
      <c r="D41" t="s">
        <v>20</v>
      </c>
      <c r="E41" t="s">
        <v>43</v>
      </c>
      <c r="F41">
        <v>21</v>
      </c>
      <c r="G41" t="s">
        <v>13</v>
      </c>
      <c r="H41" s="2">
        <v>46169</v>
      </c>
      <c r="I41" s="2">
        <v>46169</v>
      </c>
      <c r="J41">
        <v>0</v>
      </c>
      <c r="K41" t="s">
        <v>1344</v>
      </c>
    </row>
    <row r="42" spans="1:11" x14ac:dyDescent="0.35">
      <c r="A42" t="s">
        <v>68</v>
      </c>
      <c r="B42" s="2">
        <v>46176</v>
      </c>
      <c r="C42" t="s">
        <v>15</v>
      </c>
      <c r="D42" t="s">
        <v>16</v>
      </c>
      <c r="E42" t="s">
        <v>12</v>
      </c>
      <c r="F42">
        <v>5</v>
      </c>
      <c r="G42" t="s">
        <v>62</v>
      </c>
      <c r="H42" s="2">
        <v>46178</v>
      </c>
      <c r="I42" s="2">
        <v>46179</v>
      </c>
      <c r="J42">
        <v>1</v>
      </c>
      <c r="K42" t="s">
        <v>62</v>
      </c>
    </row>
    <row r="43" spans="1:11" x14ac:dyDescent="0.35">
      <c r="A43" t="s">
        <v>69</v>
      </c>
      <c r="B43" s="2">
        <v>46115</v>
      </c>
      <c r="C43" t="s">
        <v>15</v>
      </c>
      <c r="D43" t="s">
        <v>16</v>
      </c>
      <c r="E43" t="s">
        <v>46</v>
      </c>
      <c r="F43">
        <v>16</v>
      </c>
      <c r="G43" t="s">
        <v>13</v>
      </c>
      <c r="H43" s="2">
        <v>46117</v>
      </c>
      <c r="I43" s="2">
        <v>46116</v>
      </c>
      <c r="J43">
        <v>-1</v>
      </c>
      <c r="K43" t="s">
        <v>1344</v>
      </c>
    </row>
    <row r="44" spans="1:11" x14ac:dyDescent="0.35">
      <c r="A44" t="s">
        <v>70</v>
      </c>
      <c r="B44" s="2">
        <v>46163</v>
      </c>
      <c r="C44" t="s">
        <v>10</v>
      </c>
      <c r="D44" t="s">
        <v>11</v>
      </c>
      <c r="E44" t="s">
        <v>43</v>
      </c>
      <c r="F44">
        <v>20</v>
      </c>
      <c r="G44" t="s">
        <v>13</v>
      </c>
      <c r="H44" s="2">
        <v>46164</v>
      </c>
      <c r="I44" s="2">
        <v>46164</v>
      </c>
      <c r="J44">
        <v>0</v>
      </c>
      <c r="K44" t="s">
        <v>1344</v>
      </c>
    </row>
    <row r="45" spans="1:11" x14ac:dyDescent="0.35">
      <c r="A45" t="s">
        <v>71</v>
      </c>
      <c r="B45" s="2">
        <v>46119</v>
      </c>
      <c r="C45" t="s">
        <v>34</v>
      </c>
      <c r="D45" t="s">
        <v>35</v>
      </c>
      <c r="E45" t="s">
        <v>55</v>
      </c>
      <c r="F45">
        <v>5</v>
      </c>
      <c r="G45" t="s">
        <v>13</v>
      </c>
      <c r="H45" s="2">
        <v>46122</v>
      </c>
      <c r="I45" s="2">
        <v>46121</v>
      </c>
      <c r="J45">
        <v>-1</v>
      </c>
      <c r="K45" t="s">
        <v>1344</v>
      </c>
    </row>
    <row r="46" spans="1:11" x14ac:dyDescent="0.35">
      <c r="A46" t="s">
        <v>72</v>
      </c>
      <c r="B46" s="2">
        <v>46133</v>
      </c>
      <c r="C46" t="s">
        <v>10</v>
      </c>
      <c r="D46" t="s">
        <v>11</v>
      </c>
      <c r="E46" t="s">
        <v>32</v>
      </c>
      <c r="F46">
        <v>3</v>
      </c>
      <c r="G46" t="s">
        <v>13</v>
      </c>
      <c r="H46" s="2">
        <v>46135</v>
      </c>
      <c r="I46" s="2">
        <v>46135</v>
      </c>
      <c r="J46">
        <v>0</v>
      </c>
      <c r="K46" t="s">
        <v>1344</v>
      </c>
    </row>
    <row r="47" spans="1:11" x14ac:dyDescent="0.35">
      <c r="A47" t="s">
        <v>73</v>
      </c>
      <c r="B47" s="2">
        <v>46185</v>
      </c>
      <c r="C47" t="s">
        <v>15</v>
      </c>
      <c r="D47" t="s">
        <v>16</v>
      </c>
      <c r="E47" t="s">
        <v>43</v>
      </c>
      <c r="F47">
        <v>12</v>
      </c>
      <c r="G47" t="s">
        <v>26</v>
      </c>
      <c r="H47" s="2">
        <v>46188</v>
      </c>
      <c r="I47" s="2"/>
      <c r="K47" t="s">
        <v>26</v>
      </c>
    </row>
    <row r="48" spans="1:11" x14ac:dyDescent="0.35">
      <c r="A48" t="s">
        <v>74</v>
      </c>
      <c r="B48" s="2">
        <v>46151</v>
      </c>
      <c r="C48" t="s">
        <v>34</v>
      </c>
      <c r="D48" t="s">
        <v>35</v>
      </c>
      <c r="E48" t="s">
        <v>43</v>
      </c>
      <c r="F48">
        <v>1</v>
      </c>
      <c r="G48" t="s">
        <v>13</v>
      </c>
      <c r="H48" s="2">
        <v>46153</v>
      </c>
      <c r="I48" s="2">
        <v>46152</v>
      </c>
      <c r="J48">
        <v>-1</v>
      </c>
      <c r="K48" t="s">
        <v>1344</v>
      </c>
    </row>
    <row r="49" spans="1:11" x14ac:dyDescent="0.35">
      <c r="A49" t="s">
        <v>75</v>
      </c>
      <c r="B49" s="2">
        <v>46130</v>
      </c>
      <c r="C49" t="s">
        <v>34</v>
      </c>
      <c r="D49" t="s">
        <v>35</v>
      </c>
      <c r="E49" t="s">
        <v>12</v>
      </c>
      <c r="F49">
        <v>21</v>
      </c>
      <c r="G49" t="s">
        <v>62</v>
      </c>
      <c r="H49" s="2">
        <v>46132</v>
      </c>
      <c r="I49" s="2">
        <v>46133</v>
      </c>
      <c r="J49">
        <v>1</v>
      </c>
      <c r="K49" t="s">
        <v>62</v>
      </c>
    </row>
    <row r="50" spans="1:11" x14ac:dyDescent="0.35">
      <c r="A50" t="s">
        <v>76</v>
      </c>
      <c r="B50" s="2">
        <v>46116</v>
      </c>
      <c r="C50" t="s">
        <v>34</v>
      </c>
      <c r="D50" t="s">
        <v>35</v>
      </c>
      <c r="E50" t="s">
        <v>32</v>
      </c>
      <c r="F50">
        <v>29</v>
      </c>
      <c r="G50" t="s">
        <v>13</v>
      </c>
      <c r="H50" s="2">
        <v>46117</v>
      </c>
      <c r="I50" s="2">
        <v>46117</v>
      </c>
      <c r="J50">
        <v>0</v>
      </c>
      <c r="K50" t="s">
        <v>1344</v>
      </c>
    </row>
    <row r="51" spans="1:11" x14ac:dyDescent="0.35">
      <c r="A51" t="s">
        <v>77</v>
      </c>
      <c r="B51" s="2">
        <v>46201</v>
      </c>
      <c r="C51" t="s">
        <v>10</v>
      </c>
      <c r="D51" t="s">
        <v>11</v>
      </c>
      <c r="E51" t="s">
        <v>46</v>
      </c>
      <c r="F51">
        <v>9</v>
      </c>
      <c r="G51" t="s">
        <v>13</v>
      </c>
      <c r="H51" s="2">
        <v>46205</v>
      </c>
      <c r="I51" s="2">
        <v>46204</v>
      </c>
      <c r="J51">
        <v>-1</v>
      </c>
      <c r="K51" t="s">
        <v>1344</v>
      </c>
    </row>
    <row r="52" spans="1:11" x14ac:dyDescent="0.35">
      <c r="A52" t="s">
        <v>78</v>
      </c>
      <c r="B52" s="2">
        <v>46172</v>
      </c>
      <c r="C52" t="s">
        <v>34</v>
      </c>
      <c r="D52" t="s">
        <v>35</v>
      </c>
      <c r="E52" t="s">
        <v>12</v>
      </c>
      <c r="F52">
        <v>29</v>
      </c>
      <c r="G52" t="s">
        <v>13</v>
      </c>
      <c r="H52" s="2">
        <v>46176</v>
      </c>
      <c r="I52" s="2">
        <v>46175</v>
      </c>
      <c r="J52">
        <v>-1</v>
      </c>
      <c r="K52" t="s">
        <v>1344</v>
      </c>
    </row>
    <row r="53" spans="1:11" x14ac:dyDescent="0.35">
      <c r="A53" t="s">
        <v>79</v>
      </c>
      <c r="B53" s="2">
        <v>46126</v>
      </c>
      <c r="C53" t="s">
        <v>34</v>
      </c>
      <c r="D53" t="s">
        <v>35</v>
      </c>
      <c r="E53" t="s">
        <v>46</v>
      </c>
      <c r="F53">
        <v>9</v>
      </c>
      <c r="G53" t="s">
        <v>13</v>
      </c>
      <c r="H53" s="2">
        <v>46127</v>
      </c>
      <c r="I53" s="2">
        <v>46127</v>
      </c>
      <c r="J53">
        <v>0</v>
      </c>
      <c r="K53" t="s">
        <v>1344</v>
      </c>
    </row>
    <row r="54" spans="1:11" x14ac:dyDescent="0.35">
      <c r="A54" t="s">
        <v>80</v>
      </c>
      <c r="B54" s="2">
        <v>46121</v>
      </c>
      <c r="C54" t="s">
        <v>34</v>
      </c>
      <c r="D54" t="s">
        <v>35</v>
      </c>
      <c r="E54" t="s">
        <v>17</v>
      </c>
      <c r="F54">
        <v>4</v>
      </c>
      <c r="G54" t="s">
        <v>13</v>
      </c>
      <c r="H54" s="2">
        <v>46124</v>
      </c>
      <c r="I54" s="2">
        <v>46124</v>
      </c>
      <c r="J54">
        <v>0</v>
      </c>
      <c r="K54" t="s">
        <v>1344</v>
      </c>
    </row>
    <row r="55" spans="1:11" x14ac:dyDescent="0.35">
      <c r="A55" t="s">
        <v>81</v>
      </c>
      <c r="B55" s="2">
        <v>46202</v>
      </c>
      <c r="C55" t="s">
        <v>34</v>
      </c>
      <c r="D55" t="s">
        <v>35</v>
      </c>
      <c r="E55" t="s">
        <v>12</v>
      </c>
      <c r="F55">
        <v>3</v>
      </c>
      <c r="G55" t="s">
        <v>13</v>
      </c>
      <c r="H55" s="2">
        <v>46206</v>
      </c>
      <c r="I55" s="2">
        <v>46205</v>
      </c>
      <c r="J55">
        <v>-1</v>
      </c>
      <c r="K55" t="s">
        <v>1344</v>
      </c>
    </row>
    <row r="56" spans="1:11" x14ac:dyDescent="0.35">
      <c r="A56" t="s">
        <v>82</v>
      </c>
      <c r="B56" s="2">
        <v>46165</v>
      </c>
      <c r="C56" t="s">
        <v>19</v>
      </c>
      <c r="D56" t="s">
        <v>20</v>
      </c>
      <c r="E56" t="s">
        <v>32</v>
      </c>
      <c r="F56">
        <v>17</v>
      </c>
      <c r="G56" t="s">
        <v>13</v>
      </c>
      <c r="H56" s="2">
        <v>46166</v>
      </c>
      <c r="I56" s="2">
        <v>46166</v>
      </c>
      <c r="J56">
        <v>0</v>
      </c>
      <c r="K56" t="s">
        <v>1344</v>
      </c>
    </row>
    <row r="57" spans="1:11" x14ac:dyDescent="0.35">
      <c r="A57" t="s">
        <v>83</v>
      </c>
      <c r="B57" s="2">
        <v>46114</v>
      </c>
      <c r="C57" t="s">
        <v>15</v>
      </c>
      <c r="D57" t="s">
        <v>16</v>
      </c>
      <c r="E57" t="s">
        <v>24</v>
      </c>
      <c r="F57">
        <v>2</v>
      </c>
      <c r="G57" t="s">
        <v>13</v>
      </c>
      <c r="H57" s="2">
        <v>46115</v>
      </c>
      <c r="I57" s="2">
        <v>46114</v>
      </c>
      <c r="J57">
        <v>-1</v>
      </c>
      <c r="K57" t="s">
        <v>1344</v>
      </c>
    </row>
    <row r="58" spans="1:11" x14ac:dyDescent="0.35">
      <c r="A58" t="s">
        <v>84</v>
      </c>
      <c r="B58" s="2">
        <v>46196</v>
      </c>
      <c r="C58" t="s">
        <v>10</v>
      </c>
      <c r="D58" t="s">
        <v>11</v>
      </c>
      <c r="E58" t="s">
        <v>32</v>
      </c>
      <c r="F58">
        <v>24</v>
      </c>
      <c r="G58" t="s">
        <v>26</v>
      </c>
      <c r="H58" s="2">
        <v>46200</v>
      </c>
      <c r="I58" s="2"/>
      <c r="K58" t="s">
        <v>26</v>
      </c>
    </row>
    <row r="59" spans="1:11" x14ac:dyDescent="0.35">
      <c r="A59" t="s">
        <v>85</v>
      </c>
      <c r="B59" s="2">
        <v>46172</v>
      </c>
      <c r="C59" t="s">
        <v>10</v>
      </c>
      <c r="D59" t="s">
        <v>11</v>
      </c>
      <c r="E59" t="s">
        <v>32</v>
      </c>
      <c r="F59">
        <v>1</v>
      </c>
      <c r="G59" t="s">
        <v>13</v>
      </c>
      <c r="H59" s="2">
        <v>46175</v>
      </c>
      <c r="I59" s="2">
        <v>46174</v>
      </c>
      <c r="J59">
        <v>-1</v>
      </c>
      <c r="K59" t="s">
        <v>1344</v>
      </c>
    </row>
    <row r="60" spans="1:11" x14ac:dyDescent="0.35">
      <c r="A60" t="s">
        <v>86</v>
      </c>
      <c r="B60" s="2">
        <v>46183</v>
      </c>
      <c r="C60" t="s">
        <v>10</v>
      </c>
      <c r="D60" t="s">
        <v>11</v>
      </c>
      <c r="E60" t="s">
        <v>46</v>
      </c>
      <c r="F60">
        <v>8</v>
      </c>
      <c r="G60" t="s">
        <v>13</v>
      </c>
      <c r="H60" s="2">
        <v>46184</v>
      </c>
      <c r="I60" s="2">
        <v>46184</v>
      </c>
      <c r="J60">
        <v>0</v>
      </c>
      <c r="K60" t="s">
        <v>1344</v>
      </c>
    </row>
    <row r="61" spans="1:11" x14ac:dyDescent="0.35">
      <c r="A61" t="s">
        <v>87</v>
      </c>
      <c r="B61" s="2">
        <v>46156</v>
      </c>
      <c r="C61" t="s">
        <v>10</v>
      </c>
      <c r="D61" t="s">
        <v>11</v>
      </c>
      <c r="E61" t="s">
        <v>46</v>
      </c>
      <c r="F61">
        <v>13</v>
      </c>
      <c r="G61" t="s">
        <v>13</v>
      </c>
      <c r="H61" s="2">
        <v>46158</v>
      </c>
      <c r="I61" s="2">
        <v>46157</v>
      </c>
      <c r="J61">
        <v>-1</v>
      </c>
      <c r="K61" t="s">
        <v>1344</v>
      </c>
    </row>
    <row r="62" spans="1:11" x14ac:dyDescent="0.35">
      <c r="A62" t="s">
        <v>88</v>
      </c>
      <c r="B62" s="2">
        <v>46120</v>
      </c>
      <c r="C62" t="s">
        <v>19</v>
      </c>
      <c r="D62" t="s">
        <v>20</v>
      </c>
      <c r="E62" t="s">
        <v>32</v>
      </c>
      <c r="F62">
        <v>23</v>
      </c>
      <c r="G62" t="s">
        <v>13</v>
      </c>
      <c r="H62" s="2">
        <v>46123</v>
      </c>
      <c r="I62" s="2">
        <v>46123</v>
      </c>
      <c r="J62">
        <v>0</v>
      </c>
      <c r="K62" t="s">
        <v>1344</v>
      </c>
    </row>
    <row r="63" spans="1:11" x14ac:dyDescent="0.35">
      <c r="A63" t="s">
        <v>89</v>
      </c>
      <c r="B63" s="2">
        <v>46159</v>
      </c>
      <c r="C63" t="s">
        <v>19</v>
      </c>
      <c r="D63" t="s">
        <v>20</v>
      </c>
      <c r="E63" t="s">
        <v>32</v>
      </c>
      <c r="F63">
        <v>15</v>
      </c>
      <c r="G63" t="s">
        <v>13</v>
      </c>
      <c r="H63" s="2">
        <v>46162</v>
      </c>
      <c r="I63" s="2">
        <v>46162</v>
      </c>
      <c r="J63">
        <v>0</v>
      </c>
      <c r="K63" t="s">
        <v>1344</v>
      </c>
    </row>
    <row r="64" spans="1:11" x14ac:dyDescent="0.35">
      <c r="A64" t="s">
        <v>90</v>
      </c>
      <c r="B64" s="2">
        <v>46147</v>
      </c>
      <c r="C64" t="s">
        <v>34</v>
      </c>
      <c r="D64" t="s">
        <v>35</v>
      </c>
      <c r="E64" t="s">
        <v>32</v>
      </c>
      <c r="F64">
        <v>8</v>
      </c>
      <c r="G64" t="s">
        <v>13</v>
      </c>
      <c r="H64" s="2">
        <v>46151</v>
      </c>
      <c r="I64" s="2">
        <v>46150</v>
      </c>
      <c r="J64">
        <v>-1</v>
      </c>
      <c r="K64" t="s">
        <v>1344</v>
      </c>
    </row>
    <row r="65" spans="1:11" x14ac:dyDescent="0.35">
      <c r="A65" t="s">
        <v>91</v>
      </c>
      <c r="B65" s="2">
        <v>46190</v>
      </c>
      <c r="C65" t="s">
        <v>15</v>
      </c>
      <c r="D65" t="s">
        <v>16</v>
      </c>
      <c r="E65" t="s">
        <v>46</v>
      </c>
      <c r="F65">
        <v>12</v>
      </c>
      <c r="G65" t="s">
        <v>13</v>
      </c>
      <c r="H65" s="2">
        <v>46194</v>
      </c>
      <c r="I65" s="2">
        <v>46194</v>
      </c>
      <c r="J65">
        <v>0</v>
      </c>
      <c r="K65" t="s">
        <v>1344</v>
      </c>
    </row>
    <row r="66" spans="1:11" x14ac:dyDescent="0.35">
      <c r="A66" t="s">
        <v>92</v>
      </c>
      <c r="B66" s="2">
        <v>46193</v>
      </c>
      <c r="C66" t="s">
        <v>34</v>
      </c>
      <c r="D66" t="s">
        <v>35</v>
      </c>
      <c r="E66" t="s">
        <v>32</v>
      </c>
      <c r="F66">
        <v>22</v>
      </c>
      <c r="G66" t="s">
        <v>26</v>
      </c>
      <c r="H66" s="2">
        <v>46195</v>
      </c>
      <c r="I66" s="2"/>
      <c r="K66" t="s">
        <v>26</v>
      </c>
    </row>
    <row r="67" spans="1:11" x14ac:dyDescent="0.35">
      <c r="A67" t="s">
        <v>93</v>
      </c>
      <c r="B67" s="2">
        <v>46148</v>
      </c>
      <c r="C67" t="s">
        <v>15</v>
      </c>
      <c r="D67" t="s">
        <v>16</v>
      </c>
      <c r="E67" t="s">
        <v>32</v>
      </c>
      <c r="F67">
        <v>12</v>
      </c>
      <c r="G67" t="s">
        <v>26</v>
      </c>
      <c r="H67" s="2">
        <v>46149</v>
      </c>
      <c r="I67" s="2"/>
      <c r="K67" t="s">
        <v>26</v>
      </c>
    </row>
    <row r="68" spans="1:11" x14ac:dyDescent="0.35">
      <c r="A68" t="s">
        <v>94</v>
      </c>
      <c r="B68" s="2">
        <v>46162</v>
      </c>
      <c r="C68" t="s">
        <v>10</v>
      </c>
      <c r="D68" t="s">
        <v>11</v>
      </c>
      <c r="E68" t="s">
        <v>17</v>
      </c>
      <c r="F68">
        <v>14</v>
      </c>
      <c r="G68" t="s">
        <v>13</v>
      </c>
      <c r="H68" s="2">
        <v>46166</v>
      </c>
      <c r="I68" s="2">
        <v>46165</v>
      </c>
      <c r="J68">
        <v>-1</v>
      </c>
      <c r="K68" t="s">
        <v>1344</v>
      </c>
    </row>
    <row r="69" spans="1:11" x14ac:dyDescent="0.35">
      <c r="A69" t="s">
        <v>95</v>
      </c>
      <c r="B69" s="2">
        <v>46116</v>
      </c>
      <c r="C69" t="s">
        <v>19</v>
      </c>
      <c r="D69" t="s">
        <v>20</v>
      </c>
      <c r="E69" t="s">
        <v>22</v>
      </c>
      <c r="F69">
        <v>15</v>
      </c>
      <c r="G69" t="s">
        <v>13</v>
      </c>
      <c r="H69" s="2">
        <v>46120</v>
      </c>
      <c r="I69" s="2">
        <v>46119</v>
      </c>
      <c r="J69">
        <v>-1</v>
      </c>
      <c r="K69" t="s">
        <v>1344</v>
      </c>
    </row>
    <row r="70" spans="1:11" x14ac:dyDescent="0.35">
      <c r="A70" t="s">
        <v>96</v>
      </c>
      <c r="B70" s="2">
        <v>46114</v>
      </c>
      <c r="C70" t="s">
        <v>15</v>
      </c>
      <c r="D70" t="s">
        <v>16</v>
      </c>
      <c r="E70" t="s">
        <v>24</v>
      </c>
      <c r="F70">
        <v>15</v>
      </c>
      <c r="G70" t="s">
        <v>26</v>
      </c>
      <c r="H70" s="2">
        <v>46117</v>
      </c>
      <c r="I70" s="2"/>
      <c r="K70" t="s">
        <v>26</v>
      </c>
    </row>
    <row r="71" spans="1:11" x14ac:dyDescent="0.35">
      <c r="A71" t="s">
        <v>97</v>
      </c>
      <c r="B71" s="2">
        <v>46118</v>
      </c>
      <c r="C71" t="s">
        <v>15</v>
      </c>
      <c r="D71" t="s">
        <v>16</v>
      </c>
      <c r="E71" t="s">
        <v>55</v>
      </c>
      <c r="F71">
        <v>9</v>
      </c>
      <c r="G71" t="s">
        <v>13</v>
      </c>
      <c r="H71" s="2">
        <v>46122</v>
      </c>
      <c r="I71" s="2">
        <v>46121</v>
      </c>
      <c r="J71">
        <v>-1</v>
      </c>
      <c r="K71" t="s">
        <v>1344</v>
      </c>
    </row>
    <row r="72" spans="1:11" x14ac:dyDescent="0.35">
      <c r="A72" t="s">
        <v>98</v>
      </c>
      <c r="B72" s="2">
        <v>46166</v>
      </c>
      <c r="C72" t="s">
        <v>15</v>
      </c>
      <c r="D72" t="s">
        <v>16</v>
      </c>
      <c r="E72" t="s">
        <v>24</v>
      </c>
      <c r="F72">
        <v>19</v>
      </c>
      <c r="G72" t="s">
        <v>26</v>
      </c>
      <c r="H72" s="2">
        <v>46170</v>
      </c>
      <c r="I72" s="2"/>
      <c r="K72" t="s">
        <v>26</v>
      </c>
    </row>
    <row r="73" spans="1:11" x14ac:dyDescent="0.35">
      <c r="A73" t="s">
        <v>99</v>
      </c>
      <c r="B73" s="2">
        <v>46116</v>
      </c>
      <c r="C73" t="s">
        <v>10</v>
      </c>
      <c r="D73" t="s">
        <v>11</v>
      </c>
      <c r="E73" t="s">
        <v>22</v>
      </c>
      <c r="F73">
        <v>26</v>
      </c>
      <c r="G73" t="s">
        <v>26</v>
      </c>
      <c r="H73" s="2">
        <v>46120</v>
      </c>
      <c r="I73" s="2"/>
      <c r="K73" t="s">
        <v>26</v>
      </c>
    </row>
    <row r="74" spans="1:11" x14ac:dyDescent="0.35">
      <c r="A74" t="s">
        <v>100</v>
      </c>
      <c r="B74" s="2">
        <v>46166</v>
      </c>
      <c r="C74" t="s">
        <v>10</v>
      </c>
      <c r="D74" t="s">
        <v>11</v>
      </c>
      <c r="E74" t="s">
        <v>55</v>
      </c>
      <c r="F74">
        <v>20</v>
      </c>
      <c r="G74" t="s">
        <v>26</v>
      </c>
      <c r="H74" s="2">
        <v>46170</v>
      </c>
      <c r="I74" s="2"/>
      <c r="K74" t="s">
        <v>26</v>
      </c>
    </row>
    <row r="75" spans="1:11" x14ac:dyDescent="0.35">
      <c r="A75" t="s">
        <v>101</v>
      </c>
      <c r="B75" s="2">
        <v>46175</v>
      </c>
      <c r="C75" t="s">
        <v>15</v>
      </c>
      <c r="D75" t="s">
        <v>16</v>
      </c>
      <c r="E75" t="s">
        <v>12</v>
      </c>
      <c r="F75">
        <v>29</v>
      </c>
      <c r="G75" t="s">
        <v>13</v>
      </c>
      <c r="H75" s="2">
        <v>46178</v>
      </c>
      <c r="I75" s="2">
        <v>46178</v>
      </c>
      <c r="J75">
        <v>0</v>
      </c>
      <c r="K75" t="s">
        <v>1344</v>
      </c>
    </row>
    <row r="76" spans="1:11" x14ac:dyDescent="0.35">
      <c r="A76" t="s">
        <v>102</v>
      </c>
      <c r="B76" s="2">
        <v>46130</v>
      </c>
      <c r="C76" t="s">
        <v>19</v>
      </c>
      <c r="D76" t="s">
        <v>20</v>
      </c>
      <c r="E76" t="s">
        <v>32</v>
      </c>
      <c r="F76">
        <v>22</v>
      </c>
      <c r="G76" t="s">
        <v>13</v>
      </c>
      <c r="H76" s="2">
        <v>46132</v>
      </c>
      <c r="I76" s="2">
        <v>46131</v>
      </c>
      <c r="J76">
        <v>-1</v>
      </c>
      <c r="K76" t="s">
        <v>1344</v>
      </c>
    </row>
    <row r="77" spans="1:11" x14ac:dyDescent="0.35">
      <c r="A77" t="s">
        <v>103</v>
      </c>
      <c r="B77" s="2">
        <v>46202</v>
      </c>
      <c r="C77" t="s">
        <v>19</v>
      </c>
      <c r="D77" t="s">
        <v>20</v>
      </c>
      <c r="E77" t="s">
        <v>22</v>
      </c>
      <c r="F77">
        <v>8</v>
      </c>
      <c r="G77" t="s">
        <v>13</v>
      </c>
      <c r="H77" s="2">
        <v>46204</v>
      </c>
      <c r="I77" s="2">
        <v>46204</v>
      </c>
      <c r="J77">
        <v>0</v>
      </c>
      <c r="K77" t="s">
        <v>1344</v>
      </c>
    </row>
    <row r="78" spans="1:11" x14ac:dyDescent="0.35">
      <c r="A78" t="s">
        <v>104</v>
      </c>
      <c r="B78" s="2">
        <v>46156</v>
      </c>
      <c r="C78" t="s">
        <v>15</v>
      </c>
      <c r="D78" t="s">
        <v>16</v>
      </c>
      <c r="E78" t="s">
        <v>17</v>
      </c>
      <c r="F78">
        <v>21</v>
      </c>
      <c r="G78" t="s">
        <v>13</v>
      </c>
      <c r="H78" s="2">
        <v>46157</v>
      </c>
      <c r="I78" s="2">
        <v>46156</v>
      </c>
      <c r="J78">
        <v>-1</v>
      </c>
      <c r="K78" t="s">
        <v>1344</v>
      </c>
    </row>
    <row r="79" spans="1:11" x14ac:dyDescent="0.35">
      <c r="A79" t="s">
        <v>105</v>
      </c>
      <c r="B79" s="2">
        <v>46146</v>
      </c>
      <c r="C79" t="s">
        <v>10</v>
      </c>
      <c r="D79" t="s">
        <v>11</v>
      </c>
      <c r="E79" t="s">
        <v>12</v>
      </c>
      <c r="F79">
        <v>19</v>
      </c>
      <c r="G79" t="s">
        <v>26</v>
      </c>
      <c r="H79" s="2">
        <v>46150</v>
      </c>
      <c r="I79" s="2"/>
      <c r="K79" t="s">
        <v>26</v>
      </c>
    </row>
    <row r="80" spans="1:11" x14ac:dyDescent="0.35">
      <c r="A80" t="s">
        <v>106</v>
      </c>
      <c r="B80" s="2">
        <v>46186</v>
      </c>
      <c r="C80" t="s">
        <v>19</v>
      </c>
      <c r="D80" t="s">
        <v>20</v>
      </c>
      <c r="E80" t="s">
        <v>32</v>
      </c>
      <c r="F80">
        <v>6</v>
      </c>
      <c r="G80" t="s">
        <v>13</v>
      </c>
      <c r="H80" s="2">
        <v>46189</v>
      </c>
      <c r="I80" s="2">
        <v>46188</v>
      </c>
      <c r="J80">
        <v>-1</v>
      </c>
      <c r="K80" t="s">
        <v>1344</v>
      </c>
    </row>
    <row r="81" spans="1:11" x14ac:dyDescent="0.35">
      <c r="A81" t="s">
        <v>107</v>
      </c>
      <c r="B81" s="2">
        <v>46174</v>
      </c>
      <c r="C81" t="s">
        <v>34</v>
      </c>
      <c r="D81" t="s">
        <v>35</v>
      </c>
      <c r="E81" t="s">
        <v>46</v>
      </c>
      <c r="F81">
        <v>20</v>
      </c>
      <c r="G81" t="s">
        <v>13</v>
      </c>
      <c r="H81" s="2">
        <v>46175</v>
      </c>
      <c r="I81" s="2">
        <v>46174</v>
      </c>
      <c r="J81">
        <v>-1</v>
      </c>
      <c r="K81" t="s">
        <v>1344</v>
      </c>
    </row>
    <row r="82" spans="1:11" x14ac:dyDescent="0.35">
      <c r="A82" t="s">
        <v>108</v>
      </c>
      <c r="B82" s="2">
        <v>46126</v>
      </c>
      <c r="C82" t="s">
        <v>15</v>
      </c>
      <c r="D82" t="s">
        <v>16</v>
      </c>
      <c r="E82" t="s">
        <v>43</v>
      </c>
      <c r="F82">
        <v>25</v>
      </c>
      <c r="G82" t="s">
        <v>26</v>
      </c>
      <c r="H82" s="2">
        <v>46127</v>
      </c>
      <c r="I82" s="2"/>
      <c r="K82" t="s">
        <v>26</v>
      </c>
    </row>
    <row r="83" spans="1:11" x14ac:dyDescent="0.35">
      <c r="A83" t="s">
        <v>109</v>
      </c>
      <c r="B83" s="2">
        <v>46160</v>
      </c>
      <c r="C83" t="s">
        <v>15</v>
      </c>
      <c r="D83" t="s">
        <v>16</v>
      </c>
      <c r="E83" t="s">
        <v>22</v>
      </c>
      <c r="F83">
        <v>29</v>
      </c>
      <c r="G83" t="s">
        <v>26</v>
      </c>
      <c r="H83" s="2">
        <v>46162</v>
      </c>
      <c r="I83" s="2"/>
      <c r="K83" t="s">
        <v>26</v>
      </c>
    </row>
    <row r="84" spans="1:11" x14ac:dyDescent="0.35">
      <c r="A84" t="s">
        <v>110</v>
      </c>
      <c r="B84" s="2">
        <v>46127</v>
      </c>
      <c r="C84" t="s">
        <v>15</v>
      </c>
      <c r="D84" t="s">
        <v>16</v>
      </c>
      <c r="E84" t="s">
        <v>46</v>
      </c>
      <c r="F84">
        <v>19</v>
      </c>
      <c r="G84" t="s">
        <v>62</v>
      </c>
      <c r="H84" s="2">
        <v>46130</v>
      </c>
      <c r="I84" s="2">
        <v>46131</v>
      </c>
      <c r="J84">
        <v>1</v>
      </c>
      <c r="K84" t="s">
        <v>62</v>
      </c>
    </row>
    <row r="85" spans="1:11" x14ac:dyDescent="0.35">
      <c r="A85" t="s">
        <v>111</v>
      </c>
      <c r="B85" s="2">
        <v>46184</v>
      </c>
      <c r="C85" t="s">
        <v>19</v>
      </c>
      <c r="D85" t="s">
        <v>20</v>
      </c>
      <c r="E85" t="s">
        <v>22</v>
      </c>
      <c r="F85">
        <v>4</v>
      </c>
      <c r="G85" t="s">
        <v>26</v>
      </c>
      <c r="H85" s="2">
        <v>46187</v>
      </c>
      <c r="I85" s="2"/>
      <c r="K85" t="s">
        <v>26</v>
      </c>
    </row>
    <row r="86" spans="1:11" x14ac:dyDescent="0.35">
      <c r="A86" t="s">
        <v>112</v>
      </c>
      <c r="B86" s="2">
        <v>46190</v>
      </c>
      <c r="C86" t="s">
        <v>19</v>
      </c>
      <c r="D86" t="s">
        <v>20</v>
      </c>
      <c r="E86" t="s">
        <v>17</v>
      </c>
      <c r="F86">
        <v>23</v>
      </c>
      <c r="G86" t="s">
        <v>13</v>
      </c>
      <c r="H86" s="2">
        <v>46193</v>
      </c>
      <c r="I86" s="2">
        <v>46193</v>
      </c>
      <c r="J86">
        <v>0</v>
      </c>
      <c r="K86" t="s">
        <v>1344</v>
      </c>
    </row>
    <row r="87" spans="1:11" x14ac:dyDescent="0.35">
      <c r="A87" t="s">
        <v>113</v>
      </c>
      <c r="B87" s="2">
        <v>46199</v>
      </c>
      <c r="C87" t="s">
        <v>15</v>
      </c>
      <c r="D87" t="s">
        <v>16</v>
      </c>
      <c r="E87" t="s">
        <v>22</v>
      </c>
      <c r="F87">
        <v>7</v>
      </c>
      <c r="G87" t="s">
        <v>13</v>
      </c>
      <c r="H87" s="2">
        <v>46201</v>
      </c>
      <c r="I87" s="2">
        <v>46200</v>
      </c>
      <c r="J87">
        <v>-1</v>
      </c>
      <c r="K87" t="s">
        <v>1344</v>
      </c>
    </row>
    <row r="88" spans="1:11" x14ac:dyDescent="0.35">
      <c r="A88" t="s">
        <v>114</v>
      </c>
      <c r="B88" s="2">
        <v>46174</v>
      </c>
      <c r="C88" t="s">
        <v>15</v>
      </c>
      <c r="D88" t="s">
        <v>16</v>
      </c>
      <c r="E88" t="s">
        <v>46</v>
      </c>
      <c r="F88">
        <v>28</v>
      </c>
      <c r="G88" t="s">
        <v>26</v>
      </c>
      <c r="H88" s="2">
        <v>46176</v>
      </c>
      <c r="I88" s="2"/>
      <c r="K88" t="s">
        <v>26</v>
      </c>
    </row>
    <row r="89" spans="1:11" x14ac:dyDescent="0.35">
      <c r="A89" t="s">
        <v>115</v>
      </c>
      <c r="B89" s="2">
        <v>46152</v>
      </c>
      <c r="C89" t="s">
        <v>15</v>
      </c>
      <c r="D89" t="s">
        <v>16</v>
      </c>
      <c r="E89" t="s">
        <v>17</v>
      </c>
      <c r="F89">
        <v>28</v>
      </c>
      <c r="G89" t="s">
        <v>13</v>
      </c>
      <c r="H89" s="2">
        <v>46154</v>
      </c>
      <c r="I89" s="2">
        <v>46153</v>
      </c>
      <c r="J89">
        <v>-1</v>
      </c>
      <c r="K89" t="s">
        <v>1344</v>
      </c>
    </row>
    <row r="90" spans="1:11" x14ac:dyDescent="0.35">
      <c r="A90" t="s">
        <v>116</v>
      </c>
      <c r="B90" s="2">
        <v>46197</v>
      </c>
      <c r="C90" t="s">
        <v>15</v>
      </c>
      <c r="D90" t="s">
        <v>16</v>
      </c>
      <c r="E90" t="s">
        <v>55</v>
      </c>
      <c r="F90">
        <v>4</v>
      </c>
      <c r="G90" t="s">
        <v>13</v>
      </c>
      <c r="H90" s="2">
        <v>46199</v>
      </c>
      <c r="I90" s="2">
        <v>46199</v>
      </c>
      <c r="J90">
        <v>0</v>
      </c>
      <c r="K90" t="s">
        <v>1344</v>
      </c>
    </row>
    <row r="91" spans="1:11" x14ac:dyDescent="0.35">
      <c r="A91" t="s">
        <v>117</v>
      </c>
      <c r="B91" s="2">
        <v>46192</v>
      </c>
      <c r="C91" t="s">
        <v>19</v>
      </c>
      <c r="D91" t="s">
        <v>20</v>
      </c>
      <c r="E91" t="s">
        <v>24</v>
      </c>
      <c r="F91">
        <v>22</v>
      </c>
      <c r="G91" t="s">
        <v>13</v>
      </c>
      <c r="H91" s="2">
        <v>46194</v>
      </c>
      <c r="I91" s="2">
        <v>46194</v>
      </c>
      <c r="J91">
        <v>0</v>
      </c>
      <c r="K91" t="s">
        <v>1344</v>
      </c>
    </row>
    <row r="92" spans="1:11" x14ac:dyDescent="0.35">
      <c r="A92" t="s">
        <v>118</v>
      </c>
      <c r="B92" s="2">
        <v>46194</v>
      </c>
      <c r="C92" t="s">
        <v>34</v>
      </c>
      <c r="D92" t="s">
        <v>35</v>
      </c>
      <c r="E92" t="s">
        <v>32</v>
      </c>
      <c r="F92">
        <v>12</v>
      </c>
      <c r="G92" t="s">
        <v>13</v>
      </c>
      <c r="H92" s="2">
        <v>46198</v>
      </c>
      <c r="I92" s="2">
        <v>46198</v>
      </c>
      <c r="J92">
        <v>0</v>
      </c>
      <c r="K92" t="s">
        <v>1344</v>
      </c>
    </row>
    <row r="93" spans="1:11" x14ac:dyDescent="0.35">
      <c r="A93" t="s">
        <v>119</v>
      </c>
      <c r="B93" s="2">
        <v>46165</v>
      </c>
      <c r="C93" t="s">
        <v>34</v>
      </c>
      <c r="D93" t="s">
        <v>35</v>
      </c>
      <c r="E93" t="s">
        <v>22</v>
      </c>
      <c r="F93">
        <v>13</v>
      </c>
      <c r="G93" t="s">
        <v>13</v>
      </c>
      <c r="H93" s="2">
        <v>46169</v>
      </c>
      <c r="I93" s="2">
        <v>46168</v>
      </c>
      <c r="J93">
        <v>-1</v>
      </c>
      <c r="K93" t="s">
        <v>1344</v>
      </c>
    </row>
    <row r="94" spans="1:11" x14ac:dyDescent="0.35">
      <c r="A94" t="s">
        <v>120</v>
      </c>
      <c r="B94" s="2">
        <v>46136</v>
      </c>
      <c r="C94" t="s">
        <v>15</v>
      </c>
      <c r="D94" t="s">
        <v>16</v>
      </c>
      <c r="E94" t="s">
        <v>32</v>
      </c>
      <c r="F94">
        <v>3</v>
      </c>
      <c r="G94" t="s">
        <v>13</v>
      </c>
      <c r="H94" s="2">
        <v>46139</v>
      </c>
      <c r="I94" s="2">
        <v>46139</v>
      </c>
      <c r="J94">
        <v>0</v>
      </c>
      <c r="K94" t="s">
        <v>1344</v>
      </c>
    </row>
    <row r="95" spans="1:11" x14ac:dyDescent="0.35">
      <c r="A95" t="s">
        <v>121</v>
      </c>
      <c r="B95" s="2">
        <v>46138</v>
      </c>
      <c r="C95" t="s">
        <v>10</v>
      </c>
      <c r="D95" t="s">
        <v>11</v>
      </c>
      <c r="E95" t="s">
        <v>43</v>
      </c>
      <c r="F95">
        <v>22</v>
      </c>
      <c r="G95" t="s">
        <v>13</v>
      </c>
      <c r="H95" s="2">
        <v>46139</v>
      </c>
      <c r="I95" s="2">
        <v>46138</v>
      </c>
      <c r="J95">
        <v>-1</v>
      </c>
      <c r="K95" t="s">
        <v>1344</v>
      </c>
    </row>
    <row r="96" spans="1:11" x14ac:dyDescent="0.35">
      <c r="A96" t="s">
        <v>122</v>
      </c>
      <c r="B96" s="2">
        <v>46201</v>
      </c>
      <c r="C96" t="s">
        <v>34</v>
      </c>
      <c r="D96" t="s">
        <v>35</v>
      </c>
      <c r="E96" t="s">
        <v>46</v>
      </c>
      <c r="F96">
        <v>12</v>
      </c>
      <c r="G96" t="s">
        <v>13</v>
      </c>
      <c r="H96" s="2">
        <v>46204</v>
      </c>
      <c r="I96" s="2">
        <v>46204</v>
      </c>
      <c r="J96">
        <v>0</v>
      </c>
      <c r="K96" t="s">
        <v>1344</v>
      </c>
    </row>
    <row r="97" spans="1:11" x14ac:dyDescent="0.35">
      <c r="A97" t="s">
        <v>123</v>
      </c>
      <c r="B97" s="2">
        <v>46172</v>
      </c>
      <c r="C97" t="s">
        <v>10</v>
      </c>
      <c r="D97" t="s">
        <v>11</v>
      </c>
      <c r="E97" t="s">
        <v>32</v>
      </c>
      <c r="F97">
        <v>2</v>
      </c>
      <c r="G97" t="s">
        <v>13</v>
      </c>
      <c r="H97" s="2">
        <v>46173</v>
      </c>
      <c r="I97" s="2">
        <v>46172</v>
      </c>
      <c r="J97">
        <v>-1</v>
      </c>
      <c r="K97" t="s">
        <v>1344</v>
      </c>
    </row>
    <row r="98" spans="1:11" x14ac:dyDescent="0.35">
      <c r="A98" t="s">
        <v>124</v>
      </c>
      <c r="B98" s="2">
        <v>46153</v>
      </c>
      <c r="C98" t="s">
        <v>15</v>
      </c>
      <c r="D98" t="s">
        <v>16</v>
      </c>
      <c r="E98" t="s">
        <v>46</v>
      </c>
      <c r="F98">
        <v>24</v>
      </c>
      <c r="G98" t="s">
        <v>13</v>
      </c>
      <c r="H98" s="2">
        <v>46155</v>
      </c>
      <c r="I98" s="2">
        <v>46154</v>
      </c>
      <c r="J98">
        <v>-1</v>
      </c>
      <c r="K98" t="s">
        <v>1344</v>
      </c>
    </row>
    <row r="99" spans="1:11" x14ac:dyDescent="0.35">
      <c r="A99" t="s">
        <v>125</v>
      </c>
      <c r="B99" s="2">
        <v>46141</v>
      </c>
      <c r="C99" t="s">
        <v>19</v>
      </c>
      <c r="D99" t="s">
        <v>20</v>
      </c>
      <c r="E99" t="s">
        <v>32</v>
      </c>
      <c r="F99">
        <v>2</v>
      </c>
      <c r="G99" t="s">
        <v>13</v>
      </c>
      <c r="H99" s="2">
        <v>46142</v>
      </c>
      <c r="I99" s="2">
        <v>46141</v>
      </c>
      <c r="J99">
        <v>-1</v>
      </c>
      <c r="K99" t="s">
        <v>1344</v>
      </c>
    </row>
    <row r="100" spans="1:11" x14ac:dyDescent="0.35">
      <c r="A100" t="s">
        <v>126</v>
      </c>
      <c r="B100" s="2">
        <v>46127</v>
      </c>
      <c r="C100" t="s">
        <v>10</v>
      </c>
      <c r="D100" t="s">
        <v>11</v>
      </c>
      <c r="E100" t="s">
        <v>24</v>
      </c>
      <c r="F100">
        <v>27</v>
      </c>
      <c r="G100" t="s">
        <v>62</v>
      </c>
      <c r="H100" s="2">
        <v>46130</v>
      </c>
      <c r="I100" s="2">
        <v>46133</v>
      </c>
      <c r="J100">
        <v>3</v>
      </c>
      <c r="K100" t="s">
        <v>62</v>
      </c>
    </row>
    <row r="101" spans="1:11" x14ac:dyDescent="0.35">
      <c r="A101" t="s">
        <v>127</v>
      </c>
      <c r="B101" s="2">
        <v>46157</v>
      </c>
      <c r="C101" t="s">
        <v>15</v>
      </c>
      <c r="D101" t="s">
        <v>16</v>
      </c>
      <c r="E101" t="s">
        <v>24</v>
      </c>
      <c r="F101">
        <v>23</v>
      </c>
      <c r="G101" t="s">
        <v>13</v>
      </c>
      <c r="H101" s="2">
        <v>46160</v>
      </c>
      <c r="I101" s="2">
        <v>46160</v>
      </c>
      <c r="J101">
        <v>0</v>
      </c>
      <c r="K101" t="s">
        <v>1344</v>
      </c>
    </row>
    <row r="102" spans="1:11" x14ac:dyDescent="0.35">
      <c r="A102" t="s">
        <v>128</v>
      </c>
      <c r="B102" s="2">
        <v>46177</v>
      </c>
      <c r="C102" t="s">
        <v>34</v>
      </c>
      <c r="D102" t="s">
        <v>35</v>
      </c>
      <c r="E102" t="s">
        <v>17</v>
      </c>
      <c r="F102">
        <v>9</v>
      </c>
      <c r="G102" t="s">
        <v>13</v>
      </c>
      <c r="H102" s="2">
        <v>46178</v>
      </c>
      <c r="I102" s="2">
        <v>46178</v>
      </c>
      <c r="J102">
        <v>0</v>
      </c>
      <c r="K102" t="s">
        <v>1344</v>
      </c>
    </row>
    <row r="103" spans="1:11" x14ac:dyDescent="0.35">
      <c r="A103" t="s">
        <v>129</v>
      </c>
      <c r="B103" s="2">
        <v>46201</v>
      </c>
      <c r="C103" t="s">
        <v>19</v>
      </c>
      <c r="D103" t="s">
        <v>20</v>
      </c>
      <c r="E103" t="s">
        <v>24</v>
      </c>
      <c r="F103">
        <v>1</v>
      </c>
      <c r="G103" t="s">
        <v>13</v>
      </c>
      <c r="H103" s="2">
        <v>46205</v>
      </c>
      <c r="I103" s="2">
        <v>46204</v>
      </c>
      <c r="J103">
        <v>-1</v>
      </c>
      <c r="K103" t="s">
        <v>1344</v>
      </c>
    </row>
    <row r="104" spans="1:11" x14ac:dyDescent="0.35">
      <c r="A104" t="s">
        <v>130</v>
      </c>
      <c r="B104" s="2">
        <v>46183</v>
      </c>
      <c r="C104" t="s">
        <v>19</v>
      </c>
      <c r="D104" t="s">
        <v>20</v>
      </c>
      <c r="E104" t="s">
        <v>17</v>
      </c>
      <c r="F104">
        <v>8</v>
      </c>
      <c r="G104" t="s">
        <v>13</v>
      </c>
      <c r="H104" s="2">
        <v>46185</v>
      </c>
      <c r="I104" s="2">
        <v>46184</v>
      </c>
      <c r="J104">
        <v>-1</v>
      </c>
      <c r="K104" t="s">
        <v>1344</v>
      </c>
    </row>
    <row r="105" spans="1:11" x14ac:dyDescent="0.35">
      <c r="A105" t="s">
        <v>131</v>
      </c>
      <c r="B105" s="2">
        <v>46121</v>
      </c>
      <c r="C105" t="s">
        <v>34</v>
      </c>
      <c r="D105" t="s">
        <v>35</v>
      </c>
      <c r="E105" t="s">
        <v>24</v>
      </c>
      <c r="F105">
        <v>23</v>
      </c>
      <c r="G105" t="s">
        <v>13</v>
      </c>
      <c r="H105" s="2">
        <v>46123</v>
      </c>
      <c r="I105" s="2">
        <v>46123</v>
      </c>
      <c r="J105">
        <v>0</v>
      </c>
      <c r="K105" t="s">
        <v>1344</v>
      </c>
    </row>
    <row r="106" spans="1:11" x14ac:dyDescent="0.35">
      <c r="A106" t="s">
        <v>132</v>
      </c>
      <c r="B106" s="2">
        <v>46200</v>
      </c>
      <c r="C106" t="s">
        <v>34</v>
      </c>
      <c r="D106" t="s">
        <v>35</v>
      </c>
      <c r="E106" t="s">
        <v>24</v>
      </c>
      <c r="F106">
        <v>6</v>
      </c>
      <c r="G106" t="s">
        <v>26</v>
      </c>
      <c r="H106" s="2">
        <v>46203</v>
      </c>
      <c r="I106" s="2"/>
      <c r="K106" t="s">
        <v>26</v>
      </c>
    </row>
    <row r="107" spans="1:11" x14ac:dyDescent="0.35">
      <c r="A107" t="s">
        <v>133</v>
      </c>
      <c r="B107" s="2">
        <v>46113</v>
      </c>
      <c r="C107" t="s">
        <v>19</v>
      </c>
      <c r="D107" t="s">
        <v>20</v>
      </c>
      <c r="E107" t="s">
        <v>24</v>
      </c>
      <c r="F107">
        <v>6</v>
      </c>
      <c r="G107" t="s">
        <v>13</v>
      </c>
      <c r="H107" s="2">
        <v>46117</v>
      </c>
      <c r="I107" s="2">
        <v>46116</v>
      </c>
      <c r="J107">
        <v>-1</v>
      </c>
      <c r="K107" t="s">
        <v>1344</v>
      </c>
    </row>
    <row r="108" spans="1:11" x14ac:dyDescent="0.35">
      <c r="A108" t="s">
        <v>134</v>
      </c>
      <c r="B108" s="2">
        <v>46120</v>
      </c>
      <c r="C108" t="s">
        <v>10</v>
      </c>
      <c r="D108" t="s">
        <v>11</v>
      </c>
      <c r="E108" t="s">
        <v>46</v>
      </c>
      <c r="F108">
        <v>22</v>
      </c>
      <c r="G108" t="s">
        <v>26</v>
      </c>
      <c r="H108" s="2">
        <v>46121</v>
      </c>
      <c r="I108" s="2"/>
      <c r="K108" t="s">
        <v>26</v>
      </c>
    </row>
    <row r="109" spans="1:11" x14ac:dyDescent="0.35">
      <c r="A109" t="s">
        <v>135</v>
      </c>
      <c r="B109" s="2">
        <v>46200</v>
      </c>
      <c r="C109" t="s">
        <v>15</v>
      </c>
      <c r="D109" t="s">
        <v>16</v>
      </c>
      <c r="E109" t="s">
        <v>22</v>
      </c>
      <c r="F109">
        <v>25</v>
      </c>
      <c r="G109" t="s">
        <v>13</v>
      </c>
      <c r="H109" s="2">
        <v>46202</v>
      </c>
      <c r="I109" s="2">
        <v>46201</v>
      </c>
      <c r="J109">
        <v>-1</v>
      </c>
      <c r="K109" t="s">
        <v>1344</v>
      </c>
    </row>
    <row r="110" spans="1:11" x14ac:dyDescent="0.35">
      <c r="A110" t="s">
        <v>136</v>
      </c>
      <c r="B110" s="2">
        <v>46175</v>
      </c>
      <c r="C110" t="s">
        <v>19</v>
      </c>
      <c r="D110" t="s">
        <v>20</v>
      </c>
      <c r="E110" t="s">
        <v>17</v>
      </c>
      <c r="F110">
        <v>18</v>
      </c>
      <c r="G110" t="s">
        <v>13</v>
      </c>
      <c r="H110" s="2">
        <v>46179</v>
      </c>
      <c r="I110" s="2">
        <v>46178</v>
      </c>
      <c r="J110">
        <v>-1</v>
      </c>
      <c r="K110" t="s">
        <v>1344</v>
      </c>
    </row>
    <row r="111" spans="1:11" x14ac:dyDescent="0.35">
      <c r="A111" t="s">
        <v>137</v>
      </c>
      <c r="B111" s="2">
        <v>46123</v>
      </c>
      <c r="C111" t="s">
        <v>15</v>
      </c>
      <c r="D111" t="s">
        <v>16</v>
      </c>
      <c r="E111" t="s">
        <v>32</v>
      </c>
      <c r="F111">
        <v>17</v>
      </c>
      <c r="G111" t="s">
        <v>13</v>
      </c>
      <c r="H111" s="2">
        <v>46125</v>
      </c>
      <c r="I111" s="2">
        <v>46125</v>
      </c>
      <c r="J111">
        <v>0</v>
      </c>
      <c r="K111" t="s">
        <v>1344</v>
      </c>
    </row>
    <row r="112" spans="1:11" x14ac:dyDescent="0.35">
      <c r="A112" t="s">
        <v>138</v>
      </c>
      <c r="B112" s="2">
        <v>46193</v>
      </c>
      <c r="C112" t="s">
        <v>10</v>
      </c>
      <c r="D112" t="s">
        <v>11</v>
      </c>
      <c r="E112" t="s">
        <v>24</v>
      </c>
      <c r="F112">
        <v>29</v>
      </c>
      <c r="G112" t="s">
        <v>62</v>
      </c>
      <c r="H112" s="2">
        <v>46197</v>
      </c>
      <c r="I112" s="2">
        <v>46201</v>
      </c>
      <c r="J112">
        <v>4</v>
      </c>
      <c r="K112" t="s">
        <v>62</v>
      </c>
    </row>
    <row r="113" spans="1:11" x14ac:dyDescent="0.35">
      <c r="A113" t="s">
        <v>139</v>
      </c>
      <c r="B113" s="2">
        <v>46120</v>
      </c>
      <c r="C113" t="s">
        <v>15</v>
      </c>
      <c r="D113" t="s">
        <v>16</v>
      </c>
      <c r="E113" t="s">
        <v>46</v>
      </c>
      <c r="F113">
        <v>12</v>
      </c>
      <c r="G113" t="s">
        <v>13</v>
      </c>
      <c r="H113" s="2">
        <v>46124</v>
      </c>
      <c r="I113" s="2">
        <v>46124</v>
      </c>
      <c r="J113">
        <v>0</v>
      </c>
      <c r="K113" t="s">
        <v>1344</v>
      </c>
    </row>
    <row r="114" spans="1:11" x14ac:dyDescent="0.35">
      <c r="A114" t="s">
        <v>140</v>
      </c>
      <c r="B114" s="2">
        <v>46147</v>
      </c>
      <c r="C114" t="s">
        <v>15</v>
      </c>
      <c r="D114" t="s">
        <v>16</v>
      </c>
      <c r="E114" t="s">
        <v>46</v>
      </c>
      <c r="F114">
        <v>6</v>
      </c>
      <c r="G114" t="s">
        <v>13</v>
      </c>
      <c r="H114" s="2">
        <v>46150</v>
      </c>
      <c r="I114" s="2">
        <v>46150</v>
      </c>
      <c r="J114">
        <v>0</v>
      </c>
      <c r="K114" t="s">
        <v>1344</v>
      </c>
    </row>
    <row r="115" spans="1:11" x14ac:dyDescent="0.35">
      <c r="A115" t="s">
        <v>141</v>
      </c>
      <c r="B115" s="2">
        <v>46147</v>
      </c>
      <c r="C115" t="s">
        <v>34</v>
      </c>
      <c r="D115" t="s">
        <v>35</v>
      </c>
      <c r="E115" t="s">
        <v>46</v>
      </c>
      <c r="F115">
        <v>26</v>
      </c>
      <c r="G115" t="s">
        <v>13</v>
      </c>
      <c r="H115" s="2">
        <v>46149</v>
      </c>
      <c r="I115" s="2">
        <v>46149</v>
      </c>
      <c r="J115">
        <v>0</v>
      </c>
      <c r="K115" t="s">
        <v>1344</v>
      </c>
    </row>
    <row r="116" spans="1:11" x14ac:dyDescent="0.35">
      <c r="A116" t="s">
        <v>142</v>
      </c>
      <c r="B116" s="2">
        <v>46145</v>
      </c>
      <c r="C116" t="s">
        <v>19</v>
      </c>
      <c r="D116" t="s">
        <v>20</v>
      </c>
      <c r="E116" t="s">
        <v>17</v>
      </c>
      <c r="F116">
        <v>27</v>
      </c>
      <c r="G116" t="s">
        <v>13</v>
      </c>
      <c r="H116" s="2">
        <v>46146</v>
      </c>
      <c r="I116" s="2">
        <v>46146</v>
      </c>
      <c r="J116">
        <v>0</v>
      </c>
      <c r="K116" t="s">
        <v>1344</v>
      </c>
    </row>
    <row r="117" spans="1:11" x14ac:dyDescent="0.35">
      <c r="A117" t="s">
        <v>143</v>
      </c>
      <c r="B117" s="2">
        <v>46117</v>
      </c>
      <c r="C117" t="s">
        <v>15</v>
      </c>
      <c r="D117" t="s">
        <v>16</v>
      </c>
      <c r="E117" t="s">
        <v>22</v>
      </c>
      <c r="F117">
        <v>8</v>
      </c>
      <c r="G117" t="s">
        <v>13</v>
      </c>
      <c r="H117" s="2">
        <v>46120</v>
      </c>
      <c r="I117" s="2">
        <v>46120</v>
      </c>
      <c r="J117">
        <v>0</v>
      </c>
      <c r="K117" t="s">
        <v>1344</v>
      </c>
    </row>
    <row r="118" spans="1:11" x14ac:dyDescent="0.35">
      <c r="A118" t="s">
        <v>144</v>
      </c>
      <c r="B118" s="2">
        <v>46153</v>
      </c>
      <c r="C118" t="s">
        <v>15</v>
      </c>
      <c r="D118" t="s">
        <v>16</v>
      </c>
      <c r="E118" t="s">
        <v>17</v>
      </c>
      <c r="F118">
        <v>19</v>
      </c>
      <c r="G118" t="s">
        <v>13</v>
      </c>
      <c r="H118" s="2">
        <v>46156</v>
      </c>
      <c r="I118" s="2">
        <v>46155</v>
      </c>
      <c r="J118">
        <v>-1</v>
      </c>
      <c r="K118" t="s">
        <v>1344</v>
      </c>
    </row>
    <row r="119" spans="1:11" x14ac:dyDescent="0.35">
      <c r="A119" t="s">
        <v>145</v>
      </c>
      <c r="B119" s="2">
        <v>46140</v>
      </c>
      <c r="C119" t="s">
        <v>15</v>
      </c>
      <c r="D119" t="s">
        <v>16</v>
      </c>
      <c r="E119" t="s">
        <v>32</v>
      </c>
      <c r="F119">
        <v>28</v>
      </c>
      <c r="G119" t="s">
        <v>13</v>
      </c>
      <c r="H119" s="2">
        <v>46141</v>
      </c>
      <c r="I119" s="2">
        <v>46141</v>
      </c>
      <c r="J119">
        <v>0</v>
      </c>
      <c r="K119" t="s">
        <v>1344</v>
      </c>
    </row>
    <row r="120" spans="1:11" x14ac:dyDescent="0.35">
      <c r="A120" t="s">
        <v>146</v>
      </c>
      <c r="B120" s="2">
        <v>46119</v>
      </c>
      <c r="C120" t="s">
        <v>34</v>
      </c>
      <c r="D120" t="s">
        <v>35</v>
      </c>
      <c r="E120" t="s">
        <v>22</v>
      </c>
      <c r="F120">
        <v>10</v>
      </c>
      <c r="G120" t="s">
        <v>13</v>
      </c>
      <c r="H120" s="2">
        <v>46122</v>
      </c>
      <c r="I120" s="2">
        <v>46122</v>
      </c>
      <c r="J120">
        <v>0</v>
      </c>
      <c r="K120" t="s">
        <v>1344</v>
      </c>
    </row>
    <row r="121" spans="1:11" x14ac:dyDescent="0.35">
      <c r="A121" t="s">
        <v>147</v>
      </c>
      <c r="B121" s="2">
        <v>46185</v>
      </c>
      <c r="C121" t="s">
        <v>19</v>
      </c>
      <c r="D121" t="s">
        <v>20</v>
      </c>
      <c r="E121" t="s">
        <v>55</v>
      </c>
      <c r="F121">
        <v>1</v>
      </c>
      <c r="G121" t="s">
        <v>13</v>
      </c>
      <c r="H121" s="2">
        <v>46189</v>
      </c>
      <c r="I121" s="2">
        <v>46189</v>
      </c>
      <c r="J121">
        <v>0</v>
      </c>
      <c r="K121" t="s">
        <v>1344</v>
      </c>
    </row>
    <row r="122" spans="1:11" x14ac:dyDescent="0.35">
      <c r="A122" t="s">
        <v>148</v>
      </c>
      <c r="B122" s="2">
        <v>46184</v>
      </c>
      <c r="C122" t="s">
        <v>34</v>
      </c>
      <c r="D122" t="s">
        <v>35</v>
      </c>
      <c r="E122" t="s">
        <v>12</v>
      </c>
      <c r="F122">
        <v>25</v>
      </c>
      <c r="G122" t="s">
        <v>26</v>
      </c>
      <c r="H122" s="2">
        <v>46188</v>
      </c>
      <c r="I122" s="2"/>
      <c r="K122" t="s">
        <v>26</v>
      </c>
    </row>
    <row r="123" spans="1:11" x14ac:dyDescent="0.35">
      <c r="A123" t="s">
        <v>149</v>
      </c>
      <c r="B123" s="2">
        <v>46124</v>
      </c>
      <c r="C123" t="s">
        <v>10</v>
      </c>
      <c r="D123" t="s">
        <v>11</v>
      </c>
      <c r="E123" t="s">
        <v>46</v>
      </c>
      <c r="F123">
        <v>29</v>
      </c>
      <c r="G123" t="s">
        <v>26</v>
      </c>
      <c r="H123" s="2">
        <v>46126</v>
      </c>
      <c r="I123" s="2"/>
      <c r="K123" t="s">
        <v>26</v>
      </c>
    </row>
    <row r="124" spans="1:11" x14ac:dyDescent="0.35">
      <c r="A124" t="s">
        <v>150</v>
      </c>
      <c r="B124" s="2">
        <v>46146</v>
      </c>
      <c r="C124" t="s">
        <v>19</v>
      </c>
      <c r="D124" t="s">
        <v>20</v>
      </c>
      <c r="E124" t="s">
        <v>17</v>
      </c>
      <c r="F124">
        <v>13</v>
      </c>
      <c r="G124" t="s">
        <v>26</v>
      </c>
      <c r="H124" s="2">
        <v>46148</v>
      </c>
      <c r="I124" s="2"/>
      <c r="K124" t="s">
        <v>26</v>
      </c>
    </row>
    <row r="125" spans="1:11" x14ac:dyDescent="0.35">
      <c r="A125" t="s">
        <v>151</v>
      </c>
      <c r="B125" s="2">
        <v>46145</v>
      </c>
      <c r="C125" t="s">
        <v>34</v>
      </c>
      <c r="D125" t="s">
        <v>35</v>
      </c>
      <c r="E125" t="s">
        <v>55</v>
      </c>
      <c r="F125">
        <v>17</v>
      </c>
      <c r="G125" t="s">
        <v>13</v>
      </c>
      <c r="H125" s="2">
        <v>46146</v>
      </c>
      <c r="I125" s="2">
        <v>46145</v>
      </c>
      <c r="J125">
        <v>-1</v>
      </c>
      <c r="K125" t="s">
        <v>1344</v>
      </c>
    </row>
    <row r="126" spans="1:11" x14ac:dyDescent="0.35">
      <c r="A126" t="s">
        <v>152</v>
      </c>
      <c r="B126" s="2">
        <v>46160</v>
      </c>
      <c r="C126" t="s">
        <v>15</v>
      </c>
      <c r="D126" t="s">
        <v>16</v>
      </c>
      <c r="E126" t="s">
        <v>43</v>
      </c>
      <c r="F126">
        <v>3</v>
      </c>
      <c r="G126" t="s">
        <v>13</v>
      </c>
      <c r="H126" s="2">
        <v>46162</v>
      </c>
      <c r="I126" s="2">
        <v>46161</v>
      </c>
      <c r="J126">
        <v>-1</v>
      </c>
      <c r="K126" t="s">
        <v>1344</v>
      </c>
    </row>
    <row r="127" spans="1:11" x14ac:dyDescent="0.35">
      <c r="A127" t="s">
        <v>153</v>
      </c>
      <c r="B127" s="2">
        <v>46135</v>
      </c>
      <c r="C127" t="s">
        <v>15</v>
      </c>
      <c r="D127" t="s">
        <v>16</v>
      </c>
      <c r="E127" t="s">
        <v>17</v>
      </c>
      <c r="F127">
        <v>8</v>
      </c>
      <c r="G127" t="s">
        <v>13</v>
      </c>
      <c r="H127" s="2">
        <v>46139</v>
      </c>
      <c r="I127" s="2">
        <v>46138</v>
      </c>
      <c r="J127">
        <v>-1</v>
      </c>
      <c r="K127" t="s">
        <v>1344</v>
      </c>
    </row>
    <row r="128" spans="1:11" x14ac:dyDescent="0.35">
      <c r="A128" t="s">
        <v>154</v>
      </c>
      <c r="B128" s="2">
        <v>46174</v>
      </c>
      <c r="C128" t="s">
        <v>34</v>
      </c>
      <c r="D128" t="s">
        <v>35</v>
      </c>
      <c r="E128" t="s">
        <v>24</v>
      </c>
      <c r="F128">
        <v>14</v>
      </c>
      <c r="G128" t="s">
        <v>13</v>
      </c>
      <c r="H128" s="2">
        <v>46175</v>
      </c>
      <c r="I128" s="2">
        <v>46174</v>
      </c>
      <c r="J128">
        <v>-1</v>
      </c>
      <c r="K128" t="s">
        <v>1344</v>
      </c>
    </row>
    <row r="129" spans="1:11" x14ac:dyDescent="0.35">
      <c r="A129" t="s">
        <v>155</v>
      </c>
      <c r="B129" s="2">
        <v>46200</v>
      </c>
      <c r="C129" t="s">
        <v>34</v>
      </c>
      <c r="D129" t="s">
        <v>35</v>
      </c>
      <c r="E129" t="s">
        <v>12</v>
      </c>
      <c r="F129">
        <v>3</v>
      </c>
      <c r="G129" t="s">
        <v>13</v>
      </c>
      <c r="H129" s="2">
        <v>46201</v>
      </c>
      <c r="I129" s="2">
        <v>46201</v>
      </c>
      <c r="J129">
        <v>0</v>
      </c>
      <c r="K129" t="s">
        <v>1344</v>
      </c>
    </row>
    <row r="130" spans="1:11" x14ac:dyDescent="0.35">
      <c r="A130" t="s">
        <v>156</v>
      </c>
      <c r="B130" s="2">
        <v>46149</v>
      </c>
      <c r="C130" t="s">
        <v>34</v>
      </c>
      <c r="D130" t="s">
        <v>35</v>
      </c>
      <c r="E130" t="s">
        <v>24</v>
      </c>
      <c r="F130">
        <v>16</v>
      </c>
      <c r="G130" t="s">
        <v>13</v>
      </c>
      <c r="H130" s="2">
        <v>46151</v>
      </c>
      <c r="I130" s="2">
        <v>46151</v>
      </c>
      <c r="J130">
        <v>0</v>
      </c>
      <c r="K130" t="s">
        <v>1344</v>
      </c>
    </row>
    <row r="131" spans="1:11" x14ac:dyDescent="0.35">
      <c r="A131" t="s">
        <v>157</v>
      </c>
      <c r="B131" s="2">
        <v>46156</v>
      </c>
      <c r="C131" t="s">
        <v>19</v>
      </c>
      <c r="D131" t="s">
        <v>20</v>
      </c>
      <c r="E131" t="s">
        <v>22</v>
      </c>
      <c r="F131">
        <v>13</v>
      </c>
      <c r="G131" t="s">
        <v>13</v>
      </c>
      <c r="H131" s="2">
        <v>46160</v>
      </c>
      <c r="I131" s="2">
        <v>46159</v>
      </c>
      <c r="J131">
        <v>-1</v>
      </c>
      <c r="K131" t="s">
        <v>1344</v>
      </c>
    </row>
    <row r="132" spans="1:11" x14ac:dyDescent="0.35">
      <c r="A132" t="s">
        <v>158</v>
      </c>
      <c r="B132" s="2">
        <v>46198</v>
      </c>
      <c r="C132" t="s">
        <v>34</v>
      </c>
      <c r="D132" t="s">
        <v>35</v>
      </c>
      <c r="E132" t="s">
        <v>12</v>
      </c>
      <c r="F132">
        <v>20</v>
      </c>
      <c r="G132" t="s">
        <v>13</v>
      </c>
      <c r="H132" s="2">
        <v>46199</v>
      </c>
      <c r="I132" s="2">
        <v>46198</v>
      </c>
      <c r="J132">
        <v>-1</v>
      </c>
      <c r="K132" t="s">
        <v>1344</v>
      </c>
    </row>
    <row r="133" spans="1:11" x14ac:dyDescent="0.35">
      <c r="A133" t="s">
        <v>159</v>
      </c>
      <c r="B133" s="2">
        <v>46203</v>
      </c>
      <c r="C133" t="s">
        <v>34</v>
      </c>
      <c r="D133" t="s">
        <v>35</v>
      </c>
      <c r="E133" t="s">
        <v>17</v>
      </c>
      <c r="F133">
        <v>24</v>
      </c>
      <c r="G133" t="s">
        <v>26</v>
      </c>
      <c r="H133" s="2">
        <v>46207</v>
      </c>
      <c r="I133" s="2"/>
      <c r="K133" t="s">
        <v>26</v>
      </c>
    </row>
    <row r="134" spans="1:11" x14ac:dyDescent="0.35">
      <c r="A134" t="s">
        <v>160</v>
      </c>
      <c r="B134" s="2">
        <v>46147</v>
      </c>
      <c r="C134" t="s">
        <v>10</v>
      </c>
      <c r="D134" t="s">
        <v>11</v>
      </c>
      <c r="E134" t="s">
        <v>32</v>
      </c>
      <c r="F134">
        <v>17</v>
      </c>
      <c r="G134" t="s">
        <v>13</v>
      </c>
      <c r="H134" s="2">
        <v>46151</v>
      </c>
      <c r="I134" s="2">
        <v>46150</v>
      </c>
      <c r="J134">
        <v>-1</v>
      </c>
      <c r="K134" t="s">
        <v>1344</v>
      </c>
    </row>
    <row r="135" spans="1:11" x14ac:dyDescent="0.35">
      <c r="A135" t="s">
        <v>161</v>
      </c>
      <c r="B135" s="2">
        <v>46177</v>
      </c>
      <c r="C135" t="s">
        <v>34</v>
      </c>
      <c r="D135" t="s">
        <v>35</v>
      </c>
      <c r="E135" t="s">
        <v>55</v>
      </c>
      <c r="F135">
        <v>13</v>
      </c>
      <c r="G135" t="s">
        <v>13</v>
      </c>
      <c r="H135" s="2">
        <v>46181</v>
      </c>
      <c r="I135" s="2">
        <v>46180</v>
      </c>
      <c r="J135">
        <v>-1</v>
      </c>
      <c r="K135" t="s">
        <v>1344</v>
      </c>
    </row>
    <row r="136" spans="1:11" x14ac:dyDescent="0.35">
      <c r="A136" t="s">
        <v>162</v>
      </c>
      <c r="B136" s="2">
        <v>46159</v>
      </c>
      <c r="C136" t="s">
        <v>19</v>
      </c>
      <c r="D136" t="s">
        <v>20</v>
      </c>
      <c r="E136" t="s">
        <v>32</v>
      </c>
      <c r="F136">
        <v>29</v>
      </c>
      <c r="G136" t="s">
        <v>13</v>
      </c>
      <c r="H136" s="2">
        <v>46161</v>
      </c>
      <c r="I136" s="2">
        <v>46161</v>
      </c>
      <c r="J136">
        <v>0</v>
      </c>
      <c r="K136" t="s">
        <v>1344</v>
      </c>
    </row>
    <row r="137" spans="1:11" x14ac:dyDescent="0.35">
      <c r="A137" t="s">
        <v>163</v>
      </c>
      <c r="B137" s="2">
        <v>46190</v>
      </c>
      <c r="C137" t="s">
        <v>10</v>
      </c>
      <c r="D137" t="s">
        <v>11</v>
      </c>
      <c r="E137" t="s">
        <v>17</v>
      </c>
      <c r="F137">
        <v>6</v>
      </c>
      <c r="G137" t="s">
        <v>13</v>
      </c>
      <c r="H137" s="2">
        <v>46193</v>
      </c>
      <c r="I137" s="2">
        <v>46192</v>
      </c>
      <c r="J137">
        <v>-1</v>
      </c>
      <c r="K137" t="s">
        <v>1344</v>
      </c>
    </row>
    <row r="138" spans="1:11" x14ac:dyDescent="0.35">
      <c r="A138" t="s">
        <v>164</v>
      </c>
      <c r="B138" s="2">
        <v>46115</v>
      </c>
      <c r="C138" t="s">
        <v>15</v>
      </c>
      <c r="D138" t="s">
        <v>16</v>
      </c>
      <c r="E138" t="s">
        <v>22</v>
      </c>
      <c r="F138">
        <v>17</v>
      </c>
      <c r="G138" t="s">
        <v>13</v>
      </c>
      <c r="H138" s="2">
        <v>46118</v>
      </c>
      <c r="I138" s="2">
        <v>46117</v>
      </c>
      <c r="J138">
        <v>-1</v>
      </c>
      <c r="K138" t="s">
        <v>1344</v>
      </c>
    </row>
    <row r="139" spans="1:11" x14ac:dyDescent="0.35">
      <c r="A139" t="s">
        <v>165</v>
      </c>
      <c r="B139" s="2">
        <v>46113</v>
      </c>
      <c r="C139" t="s">
        <v>10</v>
      </c>
      <c r="D139" t="s">
        <v>11</v>
      </c>
      <c r="E139" t="s">
        <v>24</v>
      </c>
      <c r="F139">
        <v>14</v>
      </c>
      <c r="G139" t="s">
        <v>26</v>
      </c>
      <c r="H139" s="2">
        <v>46114</v>
      </c>
      <c r="I139" s="2"/>
      <c r="K139" t="s">
        <v>26</v>
      </c>
    </row>
    <row r="140" spans="1:11" x14ac:dyDescent="0.35">
      <c r="A140" t="s">
        <v>166</v>
      </c>
      <c r="B140" s="2">
        <v>46117</v>
      </c>
      <c r="C140" t="s">
        <v>34</v>
      </c>
      <c r="D140" t="s">
        <v>35</v>
      </c>
      <c r="E140" t="s">
        <v>12</v>
      </c>
      <c r="F140">
        <v>17</v>
      </c>
      <c r="G140" t="s">
        <v>26</v>
      </c>
      <c r="H140" s="2">
        <v>46121</v>
      </c>
      <c r="I140" s="2"/>
      <c r="K140" t="s">
        <v>26</v>
      </c>
    </row>
    <row r="141" spans="1:11" x14ac:dyDescent="0.35">
      <c r="A141" t="s">
        <v>167</v>
      </c>
      <c r="B141" s="2">
        <v>46202</v>
      </c>
      <c r="C141" t="s">
        <v>34</v>
      </c>
      <c r="D141" t="s">
        <v>35</v>
      </c>
      <c r="E141" t="s">
        <v>32</v>
      </c>
      <c r="F141">
        <v>30</v>
      </c>
      <c r="G141" t="s">
        <v>13</v>
      </c>
      <c r="H141" s="2">
        <v>46204</v>
      </c>
      <c r="I141" s="2">
        <v>46203</v>
      </c>
      <c r="J141">
        <v>-1</v>
      </c>
      <c r="K141" t="s">
        <v>1344</v>
      </c>
    </row>
    <row r="142" spans="1:11" x14ac:dyDescent="0.35">
      <c r="A142" t="s">
        <v>168</v>
      </c>
      <c r="B142" s="2">
        <v>46126</v>
      </c>
      <c r="C142" t="s">
        <v>34</v>
      </c>
      <c r="D142" t="s">
        <v>35</v>
      </c>
      <c r="E142" t="s">
        <v>17</v>
      </c>
      <c r="F142">
        <v>8</v>
      </c>
      <c r="G142" t="s">
        <v>62</v>
      </c>
      <c r="H142" s="2">
        <v>46130</v>
      </c>
      <c r="I142" s="2">
        <v>46132</v>
      </c>
      <c r="J142">
        <v>2</v>
      </c>
      <c r="K142" t="s">
        <v>62</v>
      </c>
    </row>
    <row r="143" spans="1:11" x14ac:dyDescent="0.35">
      <c r="A143" t="s">
        <v>169</v>
      </c>
      <c r="B143" s="2">
        <v>46139</v>
      </c>
      <c r="C143" t="s">
        <v>34</v>
      </c>
      <c r="D143" t="s">
        <v>35</v>
      </c>
      <c r="E143" t="s">
        <v>32</v>
      </c>
      <c r="F143">
        <v>11</v>
      </c>
      <c r="G143" t="s">
        <v>62</v>
      </c>
      <c r="H143" s="2">
        <v>46143</v>
      </c>
      <c r="I143" s="2">
        <v>46147</v>
      </c>
      <c r="J143">
        <v>4</v>
      </c>
      <c r="K143" t="s">
        <v>62</v>
      </c>
    </row>
    <row r="144" spans="1:11" x14ac:dyDescent="0.35">
      <c r="A144" t="s">
        <v>170</v>
      </c>
      <c r="B144" s="2">
        <v>46121</v>
      </c>
      <c r="C144" t="s">
        <v>19</v>
      </c>
      <c r="D144" t="s">
        <v>20</v>
      </c>
      <c r="E144" t="s">
        <v>17</v>
      </c>
      <c r="F144">
        <v>20</v>
      </c>
      <c r="G144" t="s">
        <v>26</v>
      </c>
      <c r="H144" s="2">
        <v>46123</v>
      </c>
      <c r="I144" s="2"/>
      <c r="K144" t="s">
        <v>26</v>
      </c>
    </row>
    <row r="145" spans="1:11" x14ac:dyDescent="0.35">
      <c r="A145" t="s">
        <v>171</v>
      </c>
      <c r="B145" s="2">
        <v>46191</v>
      </c>
      <c r="C145" t="s">
        <v>15</v>
      </c>
      <c r="D145" t="s">
        <v>16</v>
      </c>
      <c r="E145" t="s">
        <v>24</v>
      </c>
      <c r="F145">
        <v>28</v>
      </c>
      <c r="G145" t="s">
        <v>26</v>
      </c>
      <c r="H145" s="2">
        <v>46194</v>
      </c>
      <c r="I145" s="2"/>
      <c r="K145" t="s">
        <v>26</v>
      </c>
    </row>
    <row r="146" spans="1:11" x14ac:dyDescent="0.35">
      <c r="A146" t="s">
        <v>172</v>
      </c>
      <c r="B146" s="2">
        <v>46127</v>
      </c>
      <c r="C146" t="s">
        <v>34</v>
      </c>
      <c r="D146" t="s">
        <v>35</v>
      </c>
      <c r="E146" t="s">
        <v>12</v>
      </c>
      <c r="F146">
        <v>1</v>
      </c>
      <c r="G146" t="s">
        <v>13</v>
      </c>
      <c r="H146" s="2">
        <v>46131</v>
      </c>
      <c r="I146" s="2">
        <v>46130</v>
      </c>
      <c r="J146">
        <v>-1</v>
      </c>
      <c r="K146" t="s">
        <v>1344</v>
      </c>
    </row>
    <row r="147" spans="1:11" x14ac:dyDescent="0.35">
      <c r="A147" t="s">
        <v>173</v>
      </c>
      <c r="B147" s="2">
        <v>46202</v>
      </c>
      <c r="C147" t="s">
        <v>15</v>
      </c>
      <c r="D147" t="s">
        <v>16</v>
      </c>
      <c r="E147" t="s">
        <v>55</v>
      </c>
      <c r="F147">
        <v>26</v>
      </c>
      <c r="G147" t="s">
        <v>13</v>
      </c>
      <c r="H147" s="2">
        <v>46206</v>
      </c>
      <c r="I147" s="2">
        <v>46205</v>
      </c>
      <c r="J147">
        <v>-1</v>
      </c>
      <c r="K147" t="s">
        <v>1344</v>
      </c>
    </row>
    <row r="148" spans="1:11" x14ac:dyDescent="0.35">
      <c r="A148" t="s">
        <v>174</v>
      </c>
      <c r="B148" s="2">
        <v>46154</v>
      </c>
      <c r="C148" t="s">
        <v>10</v>
      </c>
      <c r="D148" t="s">
        <v>11</v>
      </c>
      <c r="E148" t="s">
        <v>24</v>
      </c>
      <c r="F148">
        <v>7</v>
      </c>
      <c r="G148" t="s">
        <v>13</v>
      </c>
      <c r="H148" s="2">
        <v>46157</v>
      </c>
      <c r="I148" s="2">
        <v>46157</v>
      </c>
      <c r="J148">
        <v>0</v>
      </c>
      <c r="K148" t="s">
        <v>1344</v>
      </c>
    </row>
    <row r="149" spans="1:11" x14ac:dyDescent="0.35">
      <c r="A149" t="s">
        <v>175</v>
      </c>
      <c r="B149" s="2">
        <v>46189</v>
      </c>
      <c r="C149" t="s">
        <v>15</v>
      </c>
      <c r="D149" t="s">
        <v>16</v>
      </c>
      <c r="E149" t="s">
        <v>32</v>
      </c>
      <c r="F149">
        <v>21</v>
      </c>
      <c r="G149" t="s">
        <v>13</v>
      </c>
      <c r="H149" s="2">
        <v>46191</v>
      </c>
      <c r="I149" s="2">
        <v>46191</v>
      </c>
      <c r="J149">
        <v>0</v>
      </c>
      <c r="K149" t="s">
        <v>1344</v>
      </c>
    </row>
    <row r="150" spans="1:11" x14ac:dyDescent="0.35">
      <c r="A150" t="s">
        <v>176</v>
      </c>
      <c r="B150" s="2">
        <v>46163</v>
      </c>
      <c r="C150" t="s">
        <v>19</v>
      </c>
      <c r="D150" t="s">
        <v>20</v>
      </c>
      <c r="E150" t="s">
        <v>55</v>
      </c>
      <c r="F150">
        <v>21</v>
      </c>
      <c r="G150" t="s">
        <v>62</v>
      </c>
      <c r="H150" s="2">
        <v>46164</v>
      </c>
      <c r="I150" s="2">
        <v>46167</v>
      </c>
      <c r="J150">
        <v>3</v>
      </c>
      <c r="K150" t="s">
        <v>62</v>
      </c>
    </row>
    <row r="151" spans="1:11" x14ac:dyDescent="0.35">
      <c r="A151" t="s">
        <v>177</v>
      </c>
      <c r="B151" s="2">
        <v>46175</v>
      </c>
      <c r="C151" t="s">
        <v>34</v>
      </c>
      <c r="D151" t="s">
        <v>35</v>
      </c>
      <c r="E151" t="s">
        <v>17</v>
      </c>
      <c r="F151">
        <v>17</v>
      </c>
      <c r="G151" t="s">
        <v>13</v>
      </c>
      <c r="H151" s="2">
        <v>46178</v>
      </c>
      <c r="I151" s="2">
        <v>46178</v>
      </c>
      <c r="J151">
        <v>0</v>
      </c>
      <c r="K151" t="s">
        <v>1344</v>
      </c>
    </row>
    <row r="152" spans="1:11" x14ac:dyDescent="0.35">
      <c r="A152" t="s">
        <v>178</v>
      </c>
      <c r="B152" s="2">
        <v>46164</v>
      </c>
      <c r="C152" t="s">
        <v>19</v>
      </c>
      <c r="D152" t="s">
        <v>20</v>
      </c>
      <c r="E152" t="s">
        <v>55</v>
      </c>
      <c r="F152">
        <v>30</v>
      </c>
      <c r="G152" t="s">
        <v>26</v>
      </c>
      <c r="H152" s="2">
        <v>46165</v>
      </c>
      <c r="I152" s="2"/>
      <c r="K152" t="s">
        <v>26</v>
      </c>
    </row>
    <row r="153" spans="1:11" x14ac:dyDescent="0.35">
      <c r="A153" t="s">
        <v>179</v>
      </c>
      <c r="B153" s="2">
        <v>46116</v>
      </c>
      <c r="C153" t="s">
        <v>19</v>
      </c>
      <c r="D153" t="s">
        <v>20</v>
      </c>
      <c r="E153" t="s">
        <v>17</v>
      </c>
      <c r="F153">
        <v>10</v>
      </c>
      <c r="G153" t="s">
        <v>26</v>
      </c>
      <c r="H153" s="2">
        <v>46117</v>
      </c>
      <c r="I153" s="2"/>
      <c r="K153" t="s">
        <v>26</v>
      </c>
    </row>
    <row r="154" spans="1:11" x14ac:dyDescent="0.35">
      <c r="A154" t="s">
        <v>180</v>
      </c>
      <c r="B154" s="2">
        <v>46135</v>
      </c>
      <c r="C154" t="s">
        <v>19</v>
      </c>
      <c r="D154" t="s">
        <v>20</v>
      </c>
      <c r="E154" t="s">
        <v>24</v>
      </c>
      <c r="F154">
        <v>11</v>
      </c>
      <c r="G154" t="s">
        <v>26</v>
      </c>
      <c r="H154" s="2">
        <v>46138</v>
      </c>
      <c r="I154" s="2"/>
      <c r="K154" t="s">
        <v>26</v>
      </c>
    </row>
    <row r="155" spans="1:11" x14ac:dyDescent="0.35">
      <c r="A155" t="s">
        <v>181</v>
      </c>
      <c r="B155" s="2">
        <v>46127</v>
      </c>
      <c r="C155" t="s">
        <v>19</v>
      </c>
      <c r="D155" t="s">
        <v>20</v>
      </c>
      <c r="E155" t="s">
        <v>32</v>
      </c>
      <c r="F155">
        <v>22</v>
      </c>
      <c r="G155" t="s">
        <v>62</v>
      </c>
      <c r="H155" s="2">
        <v>46131</v>
      </c>
      <c r="I155" s="2">
        <v>46132</v>
      </c>
      <c r="J155">
        <v>1</v>
      </c>
      <c r="K155" t="s">
        <v>62</v>
      </c>
    </row>
    <row r="156" spans="1:11" x14ac:dyDescent="0.35">
      <c r="A156" t="s">
        <v>182</v>
      </c>
      <c r="B156" s="2">
        <v>46155</v>
      </c>
      <c r="C156" t="s">
        <v>34</v>
      </c>
      <c r="D156" t="s">
        <v>35</v>
      </c>
      <c r="E156" t="s">
        <v>22</v>
      </c>
      <c r="F156">
        <v>30</v>
      </c>
      <c r="G156" t="s">
        <v>13</v>
      </c>
      <c r="H156" s="2">
        <v>46156</v>
      </c>
      <c r="I156" s="2">
        <v>46156</v>
      </c>
      <c r="J156">
        <v>0</v>
      </c>
      <c r="K156" t="s">
        <v>1344</v>
      </c>
    </row>
    <row r="157" spans="1:11" x14ac:dyDescent="0.35">
      <c r="A157" t="s">
        <v>183</v>
      </c>
      <c r="B157" s="2">
        <v>46141</v>
      </c>
      <c r="C157" t="s">
        <v>10</v>
      </c>
      <c r="D157" t="s">
        <v>11</v>
      </c>
      <c r="E157" t="s">
        <v>32</v>
      </c>
      <c r="F157">
        <v>9</v>
      </c>
      <c r="G157" t="s">
        <v>13</v>
      </c>
      <c r="H157" s="2">
        <v>46142</v>
      </c>
      <c r="I157" s="2">
        <v>46141</v>
      </c>
      <c r="J157">
        <v>-1</v>
      </c>
      <c r="K157" t="s">
        <v>1344</v>
      </c>
    </row>
    <row r="158" spans="1:11" x14ac:dyDescent="0.35">
      <c r="A158" t="s">
        <v>184</v>
      </c>
      <c r="B158" s="2">
        <v>46148</v>
      </c>
      <c r="C158" t="s">
        <v>15</v>
      </c>
      <c r="D158" t="s">
        <v>16</v>
      </c>
      <c r="E158" t="s">
        <v>17</v>
      </c>
      <c r="F158">
        <v>9</v>
      </c>
      <c r="G158" t="s">
        <v>13</v>
      </c>
      <c r="H158" s="2">
        <v>46150</v>
      </c>
      <c r="I158" s="2">
        <v>46149</v>
      </c>
      <c r="J158">
        <v>-1</v>
      </c>
      <c r="K158" t="s">
        <v>1344</v>
      </c>
    </row>
    <row r="159" spans="1:11" x14ac:dyDescent="0.35">
      <c r="A159" t="s">
        <v>185</v>
      </c>
      <c r="B159" s="2">
        <v>46125</v>
      </c>
      <c r="C159" t="s">
        <v>15</v>
      </c>
      <c r="D159" t="s">
        <v>16</v>
      </c>
      <c r="E159" t="s">
        <v>46</v>
      </c>
      <c r="F159">
        <v>24</v>
      </c>
      <c r="G159" t="s">
        <v>13</v>
      </c>
      <c r="H159" s="2">
        <v>46129</v>
      </c>
      <c r="I159" s="2">
        <v>46129</v>
      </c>
      <c r="J159">
        <v>0</v>
      </c>
      <c r="K159" t="s">
        <v>1344</v>
      </c>
    </row>
    <row r="160" spans="1:11" x14ac:dyDescent="0.35">
      <c r="A160" t="s">
        <v>186</v>
      </c>
      <c r="B160" s="2">
        <v>46144</v>
      </c>
      <c r="C160" t="s">
        <v>34</v>
      </c>
      <c r="D160" t="s">
        <v>35</v>
      </c>
      <c r="E160" t="s">
        <v>12</v>
      </c>
      <c r="F160">
        <v>5</v>
      </c>
      <c r="G160" t="s">
        <v>13</v>
      </c>
      <c r="H160" s="2">
        <v>46145</v>
      </c>
      <c r="I160" s="2">
        <v>46144</v>
      </c>
      <c r="J160">
        <v>-1</v>
      </c>
      <c r="K160" t="s">
        <v>1344</v>
      </c>
    </row>
    <row r="161" spans="1:11" x14ac:dyDescent="0.35">
      <c r="A161" t="s">
        <v>187</v>
      </c>
      <c r="B161" s="2">
        <v>46183</v>
      </c>
      <c r="C161" t="s">
        <v>10</v>
      </c>
      <c r="D161" t="s">
        <v>11</v>
      </c>
      <c r="E161" t="s">
        <v>43</v>
      </c>
      <c r="F161">
        <v>17</v>
      </c>
      <c r="G161" t="s">
        <v>13</v>
      </c>
      <c r="H161" s="2">
        <v>46185</v>
      </c>
      <c r="I161" s="2">
        <v>46185</v>
      </c>
      <c r="J161">
        <v>0</v>
      </c>
      <c r="K161" t="s">
        <v>1344</v>
      </c>
    </row>
    <row r="162" spans="1:11" x14ac:dyDescent="0.35">
      <c r="A162" t="s">
        <v>188</v>
      </c>
      <c r="B162" s="2">
        <v>46171</v>
      </c>
      <c r="C162" t="s">
        <v>34</v>
      </c>
      <c r="D162" t="s">
        <v>35</v>
      </c>
      <c r="E162" t="s">
        <v>22</v>
      </c>
      <c r="F162">
        <v>9</v>
      </c>
      <c r="G162" t="s">
        <v>26</v>
      </c>
      <c r="H162" s="2">
        <v>46175</v>
      </c>
      <c r="I162" s="2"/>
      <c r="K162" t="s">
        <v>26</v>
      </c>
    </row>
    <row r="163" spans="1:11" x14ac:dyDescent="0.35">
      <c r="A163" t="s">
        <v>189</v>
      </c>
      <c r="B163" s="2">
        <v>46198</v>
      </c>
      <c r="C163" t="s">
        <v>10</v>
      </c>
      <c r="D163" t="s">
        <v>11</v>
      </c>
      <c r="E163" t="s">
        <v>55</v>
      </c>
      <c r="F163">
        <v>17</v>
      </c>
      <c r="G163" t="s">
        <v>13</v>
      </c>
      <c r="H163" s="2">
        <v>46201</v>
      </c>
      <c r="I163" s="2">
        <v>46200</v>
      </c>
      <c r="J163">
        <v>-1</v>
      </c>
      <c r="K163" t="s">
        <v>1344</v>
      </c>
    </row>
    <row r="164" spans="1:11" x14ac:dyDescent="0.35">
      <c r="A164" t="s">
        <v>190</v>
      </c>
      <c r="B164" s="2">
        <v>46140</v>
      </c>
      <c r="C164" t="s">
        <v>19</v>
      </c>
      <c r="D164" t="s">
        <v>20</v>
      </c>
      <c r="E164" t="s">
        <v>22</v>
      </c>
      <c r="F164">
        <v>24</v>
      </c>
      <c r="G164" t="s">
        <v>13</v>
      </c>
      <c r="H164" s="2">
        <v>46143</v>
      </c>
      <c r="I164" s="2">
        <v>46142</v>
      </c>
      <c r="J164">
        <v>-1</v>
      </c>
      <c r="K164" t="s">
        <v>1344</v>
      </c>
    </row>
    <row r="165" spans="1:11" x14ac:dyDescent="0.35">
      <c r="A165" t="s">
        <v>191</v>
      </c>
      <c r="B165" s="2">
        <v>46178</v>
      </c>
      <c r="C165" t="s">
        <v>10</v>
      </c>
      <c r="D165" t="s">
        <v>11</v>
      </c>
      <c r="E165" t="s">
        <v>12</v>
      </c>
      <c r="F165">
        <v>21</v>
      </c>
      <c r="G165" t="s">
        <v>13</v>
      </c>
      <c r="H165" s="2">
        <v>46180</v>
      </c>
      <c r="I165" s="2">
        <v>46179</v>
      </c>
      <c r="J165">
        <v>-1</v>
      </c>
      <c r="K165" t="s">
        <v>1344</v>
      </c>
    </row>
    <row r="166" spans="1:11" x14ac:dyDescent="0.35">
      <c r="A166" t="s">
        <v>192</v>
      </c>
      <c r="B166" s="2">
        <v>46154</v>
      </c>
      <c r="C166" t="s">
        <v>10</v>
      </c>
      <c r="D166" t="s">
        <v>11</v>
      </c>
      <c r="E166" t="s">
        <v>55</v>
      </c>
      <c r="F166">
        <v>19</v>
      </c>
      <c r="G166" t="s">
        <v>13</v>
      </c>
      <c r="H166" s="2">
        <v>46157</v>
      </c>
      <c r="I166" s="2">
        <v>46156</v>
      </c>
      <c r="J166">
        <v>-1</v>
      </c>
      <c r="K166" t="s">
        <v>1344</v>
      </c>
    </row>
    <row r="167" spans="1:11" x14ac:dyDescent="0.35">
      <c r="A167" t="s">
        <v>193</v>
      </c>
      <c r="B167" s="2">
        <v>46157</v>
      </c>
      <c r="C167" t="s">
        <v>19</v>
      </c>
      <c r="D167" t="s">
        <v>20</v>
      </c>
      <c r="E167" t="s">
        <v>12</v>
      </c>
      <c r="F167">
        <v>27</v>
      </c>
      <c r="G167" t="s">
        <v>13</v>
      </c>
      <c r="H167" s="2">
        <v>46158</v>
      </c>
      <c r="I167" s="2">
        <v>46157</v>
      </c>
      <c r="J167">
        <v>-1</v>
      </c>
      <c r="K167" t="s">
        <v>1344</v>
      </c>
    </row>
    <row r="168" spans="1:11" x14ac:dyDescent="0.35">
      <c r="A168" t="s">
        <v>194</v>
      </c>
      <c r="B168" s="2">
        <v>46174</v>
      </c>
      <c r="C168" t="s">
        <v>19</v>
      </c>
      <c r="D168" t="s">
        <v>20</v>
      </c>
      <c r="E168" t="s">
        <v>55</v>
      </c>
      <c r="F168">
        <v>7</v>
      </c>
      <c r="G168" t="s">
        <v>26</v>
      </c>
      <c r="H168" s="2">
        <v>46178</v>
      </c>
      <c r="I168" s="2"/>
      <c r="K168" t="s">
        <v>26</v>
      </c>
    </row>
    <row r="169" spans="1:11" x14ac:dyDescent="0.35">
      <c r="A169" t="s">
        <v>195</v>
      </c>
      <c r="B169" s="2">
        <v>46169</v>
      </c>
      <c r="C169" t="s">
        <v>10</v>
      </c>
      <c r="D169" t="s">
        <v>11</v>
      </c>
      <c r="E169" t="s">
        <v>22</v>
      </c>
      <c r="F169">
        <v>23</v>
      </c>
      <c r="G169" t="s">
        <v>13</v>
      </c>
      <c r="H169" s="2">
        <v>46170</v>
      </c>
      <c r="I169" s="2">
        <v>46169</v>
      </c>
      <c r="J169">
        <v>-1</v>
      </c>
      <c r="K169" t="s">
        <v>1344</v>
      </c>
    </row>
    <row r="170" spans="1:11" x14ac:dyDescent="0.35">
      <c r="A170" t="s">
        <v>196</v>
      </c>
      <c r="B170" s="2">
        <v>46118</v>
      </c>
      <c r="C170" t="s">
        <v>19</v>
      </c>
      <c r="D170" t="s">
        <v>20</v>
      </c>
      <c r="E170" t="s">
        <v>55</v>
      </c>
      <c r="F170">
        <v>9</v>
      </c>
      <c r="G170" t="s">
        <v>26</v>
      </c>
      <c r="H170" s="2">
        <v>46119</v>
      </c>
      <c r="I170" s="2"/>
      <c r="K170" t="s">
        <v>26</v>
      </c>
    </row>
    <row r="171" spans="1:11" x14ac:dyDescent="0.35">
      <c r="A171" t="s">
        <v>197</v>
      </c>
      <c r="B171" s="2">
        <v>46140</v>
      </c>
      <c r="C171" t="s">
        <v>19</v>
      </c>
      <c r="D171" t="s">
        <v>20</v>
      </c>
      <c r="E171" t="s">
        <v>55</v>
      </c>
      <c r="F171">
        <v>7</v>
      </c>
      <c r="G171" t="s">
        <v>13</v>
      </c>
      <c r="H171" s="2">
        <v>46143</v>
      </c>
      <c r="I171" s="2">
        <v>46143</v>
      </c>
      <c r="J171">
        <v>0</v>
      </c>
      <c r="K171" t="s">
        <v>1344</v>
      </c>
    </row>
    <row r="172" spans="1:11" x14ac:dyDescent="0.35">
      <c r="A172" t="s">
        <v>198</v>
      </c>
      <c r="B172" s="2">
        <v>46140</v>
      </c>
      <c r="C172" t="s">
        <v>19</v>
      </c>
      <c r="D172" t="s">
        <v>20</v>
      </c>
      <c r="E172" t="s">
        <v>46</v>
      </c>
      <c r="F172">
        <v>13</v>
      </c>
      <c r="G172" t="s">
        <v>26</v>
      </c>
      <c r="H172" s="2">
        <v>46141</v>
      </c>
      <c r="I172" s="2"/>
      <c r="K172" t="s">
        <v>26</v>
      </c>
    </row>
    <row r="173" spans="1:11" x14ac:dyDescent="0.35">
      <c r="A173" t="s">
        <v>199</v>
      </c>
      <c r="B173" s="2">
        <v>46156</v>
      </c>
      <c r="C173" t="s">
        <v>15</v>
      </c>
      <c r="D173" t="s">
        <v>16</v>
      </c>
      <c r="E173" t="s">
        <v>32</v>
      </c>
      <c r="F173">
        <v>11</v>
      </c>
      <c r="G173" t="s">
        <v>13</v>
      </c>
      <c r="H173" s="2">
        <v>46159</v>
      </c>
      <c r="I173" s="2">
        <v>46159</v>
      </c>
      <c r="J173">
        <v>0</v>
      </c>
      <c r="K173" t="s">
        <v>1344</v>
      </c>
    </row>
    <row r="174" spans="1:11" x14ac:dyDescent="0.35">
      <c r="A174" t="s">
        <v>200</v>
      </c>
      <c r="B174" s="2">
        <v>46196</v>
      </c>
      <c r="C174" t="s">
        <v>34</v>
      </c>
      <c r="D174" t="s">
        <v>35</v>
      </c>
      <c r="E174" t="s">
        <v>32</v>
      </c>
      <c r="F174">
        <v>14</v>
      </c>
      <c r="G174" t="s">
        <v>13</v>
      </c>
      <c r="H174" s="2">
        <v>46200</v>
      </c>
      <c r="I174" s="2">
        <v>46199</v>
      </c>
      <c r="J174">
        <v>-1</v>
      </c>
      <c r="K174" t="s">
        <v>1344</v>
      </c>
    </row>
    <row r="175" spans="1:11" x14ac:dyDescent="0.35">
      <c r="A175" t="s">
        <v>201</v>
      </c>
      <c r="B175" s="2">
        <v>46142</v>
      </c>
      <c r="C175" t="s">
        <v>34</v>
      </c>
      <c r="D175" t="s">
        <v>35</v>
      </c>
      <c r="E175" t="s">
        <v>43</v>
      </c>
      <c r="F175">
        <v>19</v>
      </c>
      <c r="G175" t="s">
        <v>13</v>
      </c>
      <c r="H175" s="2">
        <v>46146</v>
      </c>
      <c r="I175" s="2">
        <v>46146</v>
      </c>
      <c r="J175">
        <v>0</v>
      </c>
      <c r="K175" t="s">
        <v>1344</v>
      </c>
    </row>
    <row r="176" spans="1:11" x14ac:dyDescent="0.35">
      <c r="A176" t="s">
        <v>202</v>
      </c>
      <c r="B176" s="2">
        <v>46174</v>
      </c>
      <c r="C176" t="s">
        <v>15</v>
      </c>
      <c r="D176" t="s">
        <v>16</v>
      </c>
      <c r="E176" t="s">
        <v>43</v>
      </c>
      <c r="F176">
        <v>11</v>
      </c>
      <c r="G176" t="s">
        <v>26</v>
      </c>
      <c r="H176" s="2">
        <v>46175</v>
      </c>
      <c r="I176" s="2"/>
      <c r="K176" t="s">
        <v>26</v>
      </c>
    </row>
    <row r="177" spans="1:11" x14ac:dyDescent="0.35">
      <c r="A177" t="s">
        <v>203</v>
      </c>
      <c r="B177" s="2">
        <v>46187</v>
      </c>
      <c r="C177" t="s">
        <v>10</v>
      </c>
      <c r="D177" t="s">
        <v>11</v>
      </c>
      <c r="E177" t="s">
        <v>17</v>
      </c>
      <c r="F177">
        <v>13</v>
      </c>
      <c r="G177" t="s">
        <v>13</v>
      </c>
      <c r="H177" s="2">
        <v>46189</v>
      </c>
      <c r="I177" s="2">
        <v>46188</v>
      </c>
      <c r="J177">
        <v>-1</v>
      </c>
      <c r="K177" t="s">
        <v>1344</v>
      </c>
    </row>
    <row r="178" spans="1:11" x14ac:dyDescent="0.35">
      <c r="A178" t="s">
        <v>204</v>
      </c>
      <c r="B178" s="2">
        <v>46201</v>
      </c>
      <c r="C178" t="s">
        <v>10</v>
      </c>
      <c r="D178" t="s">
        <v>11</v>
      </c>
      <c r="E178" t="s">
        <v>17</v>
      </c>
      <c r="F178">
        <v>14</v>
      </c>
      <c r="G178" t="s">
        <v>13</v>
      </c>
      <c r="H178" s="2">
        <v>46204</v>
      </c>
      <c r="I178" s="2">
        <v>46204</v>
      </c>
      <c r="J178">
        <v>0</v>
      </c>
      <c r="K178" t="s">
        <v>1344</v>
      </c>
    </row>
    <row r="179" spans="1:11" x14ac:dyDescent="0.35">
      <c r="A179" t="s">
        <v>205</v>
      </c>
      <c r="B179" s="2">
        <v>46174</v>
      </c>
      <c r="C179" t="s">
        <v>19</v>
      </c>
      <c r="D179" t="s">
        <v>20</v>
      </c>
      <c r="E179" t="s">
        <v>17</v>
      </c>
      <c r="F179">
        <v>13</v>
      </c>
      <c r="G179" t="s">
        <v>62</v>
      </c>
      <c r="H179" s="2">
        <v>46177</v>
      </c>
      <c r="I179" s="2">
        <v>46179</v>
      </c>
      <c r="J179">
        <v>2</v>
      </c>
      <c r="K179" t="s">
        <v>62</v>
      </c>
    </row>
    <row r="180" spans="1:11" x14ac:dyDescent="0.35">
      <c r="A180" t="s">
        <v>206</v>
      </c>
      <c r="B180" s="2">
        <v>46113</v>
      </c>
      <c r="C180" t="s">
        <v>15</v>
      </c>
      <c r="D180" t="s">
        <v>16</v>
      </c>
      <c r="E180" t="s">
        <v>46</v>
      </c>
      <c r="F180">
        <v>1</v>
      </c>
      <c r="G180" t="s">
        <v>26</v>
      </c>
      <c r="H180" s="2">
        <v>46114</v>
      </c>
      <c r="I180" s="2"/>
      <c r="K180" t="s">
        <v>26</v>
      </c>
    </row>
    <row r="181" spans="1:11" x14ac:dyDescent="0.35">
      <c r="A181" t="s">
        <v>207</v>
      </c>
      <c r="B181" s="2">
        <v>46139</v>
      </c>
      <c r="C181" t="s">
        <v>19</v>
      </c>
      <c r="D181" t="s">
        <v>20</v>
      </c>
      <c r="E181" t="s">
        <v>43</v>
      </c>
      <c r="F181">
        <v>8</v>
      </c>
      <c r="G181" t="s">
        <v>13</v>
      </c>
      <c r="H181" s="2">
        <v>46142</v>
      </c>
      <c r="I181" s="2">
        <v>46142</v>
      </c>
      <c r="J181">
        <v>0</v>
      </c>
      <c r="K181" t="s">
        <v>1344</v>
      </c>
    </row>
    <row r="182" spans="1:11" x14ac:dyDescent="0.35">
      <c r="A182" t="s">
        <v>208</v>
      </c>
      <c r="B182" s="2">
        <v>46174</v>
      </c>
      <c r="C182" t="s">
        <v>10</v>
      </c>
      <c r="D182" t="s">
        <v>11</v>
      </c>
      <c r="E182" t="s">
        <v>12</v>
      </c>
      <c r="F182">
        <v>12</v>
      </c>
      <c r="G182" t="s">
        <v>13</v>
      </c>
      <c r="H182" s="2">
        <v>46177</v>
      </c>
      <c r="I182" s="2">
        <v>46176</v>
      </c>
      <c r="J182">
        <v>-1</v>
      </c>
      <c r="K182" t="s">
        <v>1344</v>
      </c>
    </row>
    <row r="183" spans="1:11" x14ac:dyDescent="0.35">
      <c r="A183" t="s">
        <v>209</v>
      </c>
      <c r="B183" s="2">
        <v>46189</v>
      </c>
      <c r="C183" t="s">
        <v>10</v>
      </c>
      <c r="D183" t="s">
        <v>11</v>
      </c>
      <c r="E183" t="s">
        <v>17</v>
      </c>
      <c r="F183">
        <v>19</v>
      </c>
      <c r="G183" t="s">
        <v>13</v>
      </c>
      <c r="H183" s="2">
        <v>46191</v>
      </c>
      <c r="I183" s="2">
        <v>46191</v>
      </c>
      <c r="J183">
        <v>0</v>
      </c>
      <c r="K183" t="s">
        <v>1344</v>
      </c>
    </row>
    <row r="184" spans="1:11" x14ac:dyDescent="0.35">
      <c r="A184" t="s">
        <v>210</v>
      </c>
      <c r="B184" s="2">
        <v>46115</v>
      </c>
      <c r="C184" t="s">
        <v>19</v>
      </c>
      <c r="D184" t="s">
        <v>20</v>
      </c>
      <c r="E184" t="s">
        <v>17</v>
      </c>
      <c r="F184">
        <v>12</v>
      </c>
      <c r="G184" t="s">
        <v>13</v>
      </c>
      <c r="H184" s="2">
        <v>46117</v>
      </c>
      <c r="I184" s="2">
        <v>46116</v>
      </c>
      <c r="J184">
        <v>-1</v>
      </c>
      <c r="K184" t="s">
        <v>1344</v>
      </c>
    </row>
    <row r="185" spans="1:11" x14ac:dyDescent="0.35">
      <c r="A185" t="s">
        <v>211</v>
      </c>
      <c r="B185" s="2">
        <v>46182</v>
      </c>
      <c r="C185" t="s">
        <v>10</v>
      </c>
      <c r="D185" t="s">
        <v>11</v>
      </c>
      <c r="E185" t="s">
        <v>22</v>
      </c>
      <c r="F185">
        <v>8</v>
      </c>
      <c r="G185" t="s">
        <v>13</v>
      </c>
      <c r="H185" s="2">
        <v>46183</v>
      </c>
      <c r="I185" s="2">
        <v>46183</v>
      </c>
      <c r="J185">
        <v>0</v>
      </c>
      <c r="K185" t="s">
        <v>1344</v>
      </c>
    </row>
    <row r="186" spans="1:11" x14ac:dyDescent="0.35">
      <c r="A186" t="s">
        <v>212</v>
      </c>
      <c r="B186" s="2">
        <v>46184</v>
      </c>
      <c r="C186" t="s">
        <v>34</v>
      </c>
      <c r="D186" t="s">
        <v>35</v>
      </c>
      <c r="E186" t="s">
        <v>24</v>
      </c>
      <c r="F186">
        <v>8</v>
      </c>
      <c r="G186" t="s">
        <v>62</v>
      </c>
      <c r="H186" s="2">
        <v>46186</v>
      </c>
      <c r="I186" s="2">
        <v>46190</v>
      </c>
      <c r="J186">
        <v>4</v>
      </c>
      <c r="K186" t="s">
        <v>62</v>
      </c>
    </row>
    <row r="187" spans="1:11" x14ac:dyDescent="0.35">
      <c r="A187" t="s">
        <v>213</v>
      </c>
      <c r="B187" s="2">
        <v>46139</v>
      </c>
      <c r="C187" t="s">
        <v>19</v>
      </c>
      <c r="D187" t="s">
        <v>20</v>
      </c>
      <c r="E187" t="s">
        <v>12</v>
      </c>
      <c r="F187">
        <v>29</v>
      </c>
      <c r="G187" t="s">
        <v>62</v>
      </c>
      <c r="H187" s="2">
        <v>46140</v>
      </c>
      <c r="I187" s="2">
        <v>46142</v>
      </c>
      <c r="J187">
        <v>2</v>
      </c>
      <c r="K187" t="s">
        <v>62</v>
      </c>
    </row>
    <row r="188" spans="1:11" x14ac:dyDescent="0.35">
      <c r="A188" t="s">
        <v>214</v>
      </c>
      <c r="B188" s="2">
        <v>46121</v>
      </c>
      <c r="C188" t="s">
        <v>34</v>
      </c>
      <c r="D188" t="s">
        <v>35</v>
      </c>
      <c r="E188" t="s">
        <v>17</v>
      </c>
      <c r="F188">
        <v>21</v>
      </c>
      <c r="G188" t="s">
        <v>13</v>
      </c>
      <c r="H188" s="2">
        <v>46125</v>
      </c>
      <c r="I188" s="2">
        <v>46124</v>
      </c>
      <c r="J188">
        <v>-1</v>
      </c>
      <c r="K188" t="s">
        <v>1344</v>
      </c>
    </row>
    <row r="189" spans="1:11" x14ac:dyDescent="0.35">
      <c r="A189" t="s">
        <v>215</v>
      </c>
      <c r="B189" s="2">
        <v>46174</v>
      </c>
      <c r="C189" t="s">
        <v>15</v>
      </c>
      <c r="D189" t="s">
        <v>16</v>
      </c>
      <c r="E189" t="s">
        <v>17</v>
      </c>
      <c r="F189">
        <v>13</v>
      </c>
      <c r="G189" t="s">
        <v>13</v>
      </c>
      <c r="H189" s="2">
        <v>46175</v>
      </c>
      <c r="I189" s="2">
        <v>46175</v>
      </c>
      <c r="J189">
        <v>0</v>
      </c>
      <c r="K189" t="s">
        <v>1344</v>
      </c>
    </row>
    <row r="190" spans="1:11" x14ac:dyDescent="0.35">
      <c r="A190" t="s">
        <v>216</v>
      </c>
      <c r="B190" s="2">
        <v>46149</v>
      </c>
      <c r="C190" t="s">
        <v>19</v>
      </c>
      <c r="D190" t="s">
        <v>20</v>
      </c>
      <c r="E190" t="s">
        <v>17</v>
      </c>
      <c r="F190">
        <v>12</v>
      </c>
      <c r="G190" t="s">
        <v>13</v>
      </c>
      <c r="H190" s="2">
        <v>46153</v>
      </c>
      <c r="I190" s="2">
        <v>46153</v>
      </c>
      <c r="J190">
        <v>0</v>
      </c>
      <c r="K190" t="s">
        <v>1344</v>
      </c>
    </row>
    <row r="191" spans="1:11" x14ac:dyDescent="0.35">
      <c r="A191" t="s">
        <v>217</v>
      </c>
      <c r="B191" s="2">
        <v>46163</v>
      </c>
      <c r="C191" t="s">
        <v>34</v>
      </c>
      <c r="D191" t="s">
        <v>35</v>
      </c>
      <c r="E191" t="s">
        <v>24</v>
      </c>
      <c r="F191">
        <v>29</v>
      </c>
      <c r="G191" t="s">
        <v>62</v>
      </c>
      <c r="H191" s="2">
        <v>46164</v>
      </c>
      <c r="I191" s="2">
        <v>46165</v>
      </c>
      <c r="J191">
        <v>1</v>
      </c>
      <c r="K191" t="s">
        <v>62</v>
      </c>
    </row>
    <row r="192" spans="1:11" x14ac:dyDescent="0.35">
      <c r="A192" t="s">
        <v>218</v>
      </c>
      <c r="B192" s="2">
        <v>46156</v>
      </c>
      <c r="C192" t="s">
        <v>19</v>
      </c>
      <c r="D192" t="s">
        <v>20</v>
      </c>
      <c r="E192" t="s">
        <v>24</v>
      </c>
      <c r="F192">
        <v>16</v>
      </c>
      <c r="G192" t="s">
        <v>62</v>
      </c>
      <c r="H192" s="2">
        <v>46159</v>
      </c>
      <c r="I192" s="2">
        <v>46161</v>
      </c>
      <c r="J192">
        <v>2</v>
      </c>
      <c r="K192" t="s">
        <v>62</v>
      </c>
    </row>
    <row r="193" spans="1:11" x14ac:dyDescent="0.35">
      <c r="A193" t="s">
        <v>219</v>
      </c>
      <c r="B193" s="2">
        <v>46136</v>
      </c>
      <c r="C193" t="s">
        <v>34</v>
      </c>
      <c r="D193" t="s">
        <v>35</v>
      </c>
      <c r="E193" t="s">
        <v>46</v>
      </c>
      <c r="F193">
        <v>1</v>
      </c>
      <c r="G193" t="s">
        <v>13</v>
      </c>
      <c r="H193" s="2">
        <v>46138</v>
      </c>
      <c r="I193" s="2">
        <v>46138</v>
      </c>
      <c r="J193">
        <v>0</v>
      </c>
      <c r="K193" t="s">
        <v>1344</v>
      </c>
    </row>
    <row r="194" spans="1:11" x14ac:dyDescent="0.35">
      <c r="A194" t="s">
        <v>220</v>
      </c>
      <c r="B194" s="2">
        <v>46191</v>
      </c>
      <c r="C194" t="s">
        <v>19</v>
      </c>
      <c r="D194" t="s">
        <v>20</v>
      </c>
      <c r="E194" t="s">
        <v>12</v>
      </c>
      <c r="F194">
        <v>13</v>
      </c>
      <c r="G194" t="s">
        <v>26</v>
      </c>
      <c r="H194" s="2">
        <v>46195</v>
      </c>
      <c r="I194" s="2"/>
      <c r="K194" t="s">
        <v>26</v>
      </c>
    </row>
    <row r="195" spans="1:11" x14ac:dyDescent="0.35">
      <c r="A195" t="s">
        <v>221</v>
      </c>
      <c r="B195" s="2">
        <v>46171</v>
      </c>
      <c r="C195" t="s">
        <v>15</v>
      </c>
      <c r="D195" t="s">
        <v>16</v>
      </c>
      <c r="E195" t="s">
        <v>46</v>
      </c>
      <c r="F195">
        <v>26</v>
      </c>
      <c r="G195" t="s">
        <v>13</v>
      </c>
      <c r="H195" s="2">
        <v>46172</v>
      </c>
      <c r="I195" s="2">
        <v>46171</v>
      </c>
      <c r="J195">
        <v>-1</v>
      </c>
      <c r="K195" t="s">
        <v>1344</v>
      </c>
    </row>
    <row r="196" spans="1:11" x14ac:dyDescent="0.35">
      <c r="A196" t="s">
        <v>222</v>
      </c>
      <c r="B196" s="2">
        <v>46144</v>
      </c>
      <c r="C196" t="s">
        <v>19</v>
      </c>
      <c r="D196" t="s">
        <v>20</v>
      </c>
      <c r="E196" t="s">
        <v>55</v>
      </c>
      <c r="F196">
        <v>7</v>
      </c>
      <c r="G196" t="s">
        <v>13</v>
      </c>
      <c r="H196" s="2">
        <v>46146</v>
      </c>
      <c r="I196" s="2">
        <v>46146</v>
      </c>
      <c r="J196">
        <v>0</v>
      </c>
      <c r="K196" t="s">
        <v>1344</v>
      </c>
    </row>
    <row r="197" spans="1:11" x14ac:dyDescent="0.35">
      <c r="A197" t="s">
        <v>223</v>
      </c>
      <c r="B197" s="2">
        <v>46200</v>
      </c>
      <c r="C197" t="s">
        <v>19</v>
      </c>
      <c r="D197" t="s">
        <v>20</v>
      </c>
      <c r="E197" t="s">
        <v>24</v>
      </c>
      <c r="F197">
        <v>28</v>
      </c>
      <c r="G197" t="s">
        <v>13</v>
      </c>
      <c r="H197" s="2">
        <v>46201</v>
      </c>
      <c r="I197" s="2">
        <v>46201</v>
      </c>
      <c r="J197">
        <v>0</v>
      </c>
      <c r="K197" t="s">
        <v>1344</v>
      </c>
    </row>
    <row r="198" spans="1:11" x14ac:dyDescent="0.35">
      <c r="A198" t="s">
        <v>224</v>
      </c>
      <c r="B198" s="2">
        <v>46164</v>
      </c>
      <c r="C198" t="s">
        <v>15</v>
      </c>
      <c r="D198" t="s">
        <v>16</v>
      </c>
      <c r="E198" t="s">
        <v>22</v>
      </c>
      <c r="F198">
        <v>26</v>
      </c>
      <c r="G198" t="s">
        <v>13</v>
      </c>
      <c r="H198" s="2">
        <v>46166</v>
      </c>
      <c r="I198" s="2">
        <v>46166</v>
      </c>
      <c r="J198">
        <v>0</v>
      </c>
      <c r="K198" t="s">
        <v>1344</v>
      </c>
    </row>
    <row r="199" spans="1:11" x14ac:dyDescent="0.35">
      <c r="A199" t="s">
        <v>225</v>
      </c>
      <c r="B199" s="2">
        <v>46174</v>
      </c>
      <c r="C199" t="s">
        <v>10</v>
      </c>
      <c r="D199" t="s">
        <v>11</v>
      </c>
      <c r="E199" t="s">
        <v>43</v>
      </c>
      <c r="F199">
        <v>5</v>
      </c>
      <c r="G199" t="s">
        <v>13</v>
      </c>
      <c r="H199" s="2">
        <v>46176</v>
      </c>
      <c r="I199" s="2">
        <v>46176</v>
      </c>
      <c r="J199">
        <v>0</v>
      </c>
      <c r="K199" t="s">
        <v>1344</v>
      </c>
    </row>
    <row r="200" spans="1:11" x14ac:dyDescent="0.35">
      <c r="A200" t="s">
        <v>226</v>
      </c>
      <c r="B200" s="2">
        <v>46170</v>
      </c>
      <c r="C200" t="s">
        <v>19</v>
      </c>
      <c r="D200" t="s">
        <v>20</v>
      </c>
      <c r="E200" t="s">
        <v>22</v>
      </c>
      <c r="F200">
        <v>8</v>
      </c>
      <c r="G200" t="s">
        <v>13</v>
      </c>
      <c r="H200" s="2">
        <v>46171</v>
      </c>
      <c r="I200" s="2">
        <v>46170</v>
      </c>
      <c r="J200">
        <v>-1</v>
      </c>
      <c r="K200" t="s">
        <v>1344</v>
      </c>
    </row>
    <row r="201" spans="1:11" x14ac:dyDescent="0.35">
      <c r="A201" t="s">
        <v>227</v>
      </c>
      <c r="B201" s="2">
        <v>46164</v>
      </c>
      <c r="C201" t="s">
        <v>34</v>
      </c>
      <c r="D201" t="s">
        <v>35</v>
      </c>
      <c r="E201" t="s">
        <v>43</v>
      </c>
      <c r="F201">
        <v>25</v>
      </c>
      <c r="G201" t="s">
        <v>13</v>
      </c>
      <c r="H201" s="2">
        <v>46168</v>
      </c>
      <c r="I201" s="2">
        <v>46168</v>
      </c>
      <c r="J201">
        <v>0</v>
      </c>
      <c r="K201" t="s">
        <v>1344</v>
      </c>
    </row>
    <row r="202" spans="1:11" x14ac:dyDescent="0.35">
      <c r="A202" t="s">
        <v>228</v>
      </c>
      <c r="B202" s="2">
        <v>46124</v>
      </c>
      <c r="C202" t="s">
        <v>15</v>
      </c>
      <c r="D202" t="s">
        <v>16</v>
      </c>
      <c r="E202" t="s">
        <v>24</v>
      </c>
      <c r="F202">
        <v>27</v>
      </c>
      <c r="G202" t="s">
        <v>62</v>
      </c>
      <c r="H202" s="2">
        <v>46128</v>
      </c>
      <c r="I202" s="2">
        <v>46131</v>
      </c>
      <c r="J202">
        <v>3</v>
      </c>
      <c r="K202" t="s">
        <v>62</v>
      </c>
    </row>
    <row r="203" spans="1:11" x14ac:dyDescent="0.35">
      <c r="A203" t="s">
        <v>229</v>
      </c>
      <c r="B203" s="2">
        <v>46151</v>
      </c>
      <c r="C203" t="s">
        <v>34</v>
      </c>
      <c r="D203" t="s">
        <v>35</v>
      </c>
      <c r="E203" t="s">
        <v>24</v>
      </c>
      <c r="F203">
        <v>14</v>
      </c>
      <c r="G203" t="s">
        <v>13</v>
      </c>
      <c r="H203" s="2">
        <v>46154</v>
      </c>
      <c r="I203" s="2">
        <v>46153</v>
      </c>
      <c r="J203">
        <v>-1</v>
      </c>
      <c r="K203" t="s">
        <v>1344</v>
      </c>
    </row>
    <row r="204" spans="1:11" x14ac:dyDescent="0.35">
      <c r="A204" t="s">
        <v>230</v>
      </c>
      <c r="B204" s="2">
        <v>46114</v>
      </c>
      <c r="C204" t="s">
        <v>34</v>
      </c>
      <c r="D204" t="s">
        <v>35</v>
      </c>
      <c r="E204" t="s">
        <v>24</v>
      </c>
      <c r="F204">
        <v>23</v>
      </c>
      <c r="G204" t="s">
        <v>13</v>
      </c>
      <c r="H204" s="2">
        <v>46116</v>
      </c>
      <c r="I204" s="2">
        <v>46115</v>
      </c>
      <c r="J204">
        <v>-1</v>
      </c>
      <c r="K204" t="s">
        <v>1344</v>
      </c>
    </row>
    <row r="205" spans="1:11" x14ac:dyDescent="0.35">
      <c r="A205" t="s">
        <v>231</v>
      </c>
      <c r="B205" s="2">
        <v>46115</v>
      </c>
      <c r="C205" t="s">
        <v>10</v>
      </c>
      <c r="D205" t="s">
        <v>11</v>
      </c>
      <c r="E205" t="s">
        <v>46</v>
      </c>
      <c r="F205">
        <v>30</v>
      </c>
      <c r="G205" t="s">
        <v>13</v>
      </c>
      <c r="H205" s="2">
        <v>46118</v>
      </c>
      <c r="I205" s="2">
        <v>46118</v>
      </c>
      <c r="J205">
        <v>0</v>
      </c>
      <c r="K205" t="s">
        <v>1344</v>
      </c>
    </row>
    <row r="206" spans="1:11" x14ac:dyDescent="0.35">
      <c r="A206" t="s">
        <v>232</v>
      </c>
      <c r="B206" s="2">
        <v>46168</v>
      </c>
      <c r="C206" t="s">
        <v>10</v>
      </c>
      <c r="D206" t="s">
        <v>11</v>
      </c>
      <c r="E206" t="s">
        <v>12</v>
      </c>
      <c r="F206">
        <v>13</v>
      </c>
      <c r="G206" t="s">
        <v>13</v>
      </c>
      <c r="H206" s="2">
        <v>46171</v>
      </c>
      <c r="I206" s="2">
        <v>46171</v>
      </c>
      <c r="J206">
        <v>0</v>
      </c>
      <c r="K206" t="s">
        <v>1344</v>
      </c>
    </row>
    <row r="207" spans="1:11" x14ac:dyDescent="0.35">
      <c r="A207" t="s">
        <v>233</v>
      </c>
      <c r="B207" s="2">
        <v>46193</v>
      </c>
      <c r="C207" t="s">
        <v>34</v>
      </c>
      <c r="D207" t="s">
        <v>35</v>
      </c>
      <c r="E207" t="s">
        <v>43</v>
      </c>
      <c r="F207">
        <v>15</v>
      </c>
      <c r="G207" t="s">
        <v>13</v>
      </c>
      <c r="H207" s="2">
        <v>46194</v>
      </c>
      <c r="I207" s="2">
        <v>46193</v>
      </c>
      <c r="J207">
        <v>-1</v>
      </c>
      <c r="K207" t="s">
        <v>1344</v>
      </c>
    </row>
    <row r="208" spans="1:11" x14ac:dyDescent="0.35">
      <c r="A208" t="s">
        <v>234</v>
      </c>
      <c r="B208" s="2">
        <v>46171</v>
      </c>
      <c r="C208" t="s">
        <v>15</v>
      </c>
      <c r="D208" t="s">
        <v>16</v>
      </c>
      <c r="E208" t="s">
        <v>12</v>
      </c>
      <c r="F208">
        <v>23</v>
      </c>
      <c r="G208" t="s">
        <v>13</v>
      </c>
      <c r="H208" s="2">
        <v>46172</v>
      </c>
      <c r="I208" s="2">
        <v>46171</v>
      </c>
      <c r="J208">
        <v>-1</v>
      </c>
      <c r="K208" t="s">
        <v>1344</v>
      </c>
    </row>
    <row r="209" spans="1:11" x14ac:dyDescent="0.35">
      <c r="A209" t="s">
        <v>235</v>
      </c>
      <c r="B209" s="2">
        <v>46114</v>
      </c>
      <c r="C209" t="s">
        <v>10</v>
      </c>
      <c r="D209" t="s">
        <v>11</v>
      </c>
      <c r="E209" t="s">
        <v>46</v>
      </c>
      <c r="F209">
        <v>17</v>
      </c>
      <c r="G209" t="s">
        <v>13</v>
      </c>
      <c r="H209" s="2">
        <v>46115</v>
      </c>
      <c r="I209" s="2">
        <v>46114</v>
      </c>
      <c r="J209">
        <v>-1</v>
      </c>
      <c r="K209" t="s">
        <v>1344</v>
      </c>
    </row>
    <row r="210" spans="1:11" x14ac:dyDescent="0.35">
      <c r="A210" t="s">
        <v>236</v>
      </c>
      <c r="B210" s="2">
        <v>46114</v>
      </c>
      <c r="C210" t="s">
        <v>34</v>
      </c>
      <c r="D210" t="s">
        <v>35</v>
      </c>
      <c r="E210" t="s">
        <v>46</v>
      </c>
      <c r="F210">
        <v>15</v>
      </c>
      <c r="G210" t="s">
        <v>13</v>
      </c>
      <c r="H210" s="2">
        <v>46116</v>
      </c>
      <c r="I210" s="2">
        <v>46116</v>
      </c>
      <c r="J210">
        <v>0</v>
      </c>
      <c r="K210" t="s">
        <v>1344</v>
      </c>
    </row>
    <row r="211" spans="1:11" x14ac:dyDescent="0.35">
      <c r="A211" t="s">
        <v>237</v>
      </c>
      <c r="B211" s="2">
        <v>46166</v>
      </c>
      <c r="C211" t="s">
        <v>15</v>
      </c>
      <c r="D211" t="s">
        <v>16</v>
      </c>
      <c r="E211" t="s">
        <v>32</v>
      </c>
      <c r="F211">
        <v>20</v>
      </c>
      <c r="G211" t="s">
        <v>13</v>
      </c>
      <c r="H211" s="2">
        <v>46167</v>
      </c>
      <c r="I211" s="2">
        <v>46167</v>
      </c>
      <c r="J211">
        <v>0</v>
      </c>
      <c r="K211" t="s">
        <v>1344</v>
      </c>
    </row>
    <row r="212" spans="1:11" x14ac:dyDescent="0.35">
      <c r="A212" t="s">
        <v>238</v>
      </c>
      <c r="B212" s="2">
        <v>46199</v>
      </c>
      <c r="C212" t="s">
        <v>19</v>
      </c>
      <c r="D212" t="s">
        <v>20</v>
      </c>
      <c r="E212" t="s">
        <v>22</v>
      </c>
      <c r="F212">
        <v>18</v>
      </c>
      <c r="G212" t="s">
        <v>13</v>
      </c>
      <c r="H212" s="2">
        <v>46200</v>
      </c>
      <c r="I212" s="2">
        <v>46200</v>
      </c>
      <c r="J212">
        <v>0</v>
      </c>
      <c r="K212" t="s">
        <v>1344</v>
      </c>
    </row>
    <row r="213" spans="1:11" x14ac:dyDescent="0.35">
      <c r="A213" t="s">
        <v>239</v>
      </c>
      <c r="B213" s="2">
        <v>46113</v>
      </c>
      <c r="C213" t="s">
        <v>10</v>
      </c>
      <c r="D213" t="s">
        <v>11</v>
      </c>
      <c r="E213" t="s">
        <v>22</v>
      </c>
      <c r="F213">
        <v>18</v>
      </c>
      <c r="G213" t="s">
        <v>13</v>
      </c>
      <c r="H213" s="2">
        <v>46115</v>
      </c>
      <c r="I213" s="2">
        <v>46114</v>
      </c>
      <c r="J213">
        <v>-1</v>
      </c>
      <c r="K213" t="s">
        <v>1344</v>
      </c>
    </row>
    <row r="214" spans="1:11" x14ac:dyDescent="0.35">
      <c r="A214" t="s">
        <v>240</v>
      </c>
      <c r="B214" s="2">
        <v>46131</v>
      </c>
      <c r="C214" t="s">
        <v>10</v>
      </c>
      <c r="D214" t="s">
        <v>11</v>
      </c>
      <c r="E214" t="s">
        <v>55</v>
      </c>
      <c r="F214">
        <v>2</v>
      </c>
      <c r="G214" t="s">
        <v>13</v>
      </c>
      <c r="H214" s="2">
        <v>46133</v>
      </c>
      <c r="I214" s="2">
        <v>46132</v>
      </c>
      <c r="J214">
        <v>-1</v>
      </c>
      <c r="K214" t="s">
        <v>1344</v>
      </c>
    </row>
    <row r="215" spans="1:11" x14ac:dyDescent="0.35">
      <c r="A215" t="s">
        <v>241</v>
      </c>
      <c r="B215" s="2">
        <v>46114</v>
      </c>
      <c r="C215" t="s">
        <v>19</v>
      </c>
      <c r="D215" t="s">
        <v>20</v>
      </c>
      <c r="E215" t="s">
        <v>17</v>
      </c>
      <c r="F215">
        <v>4</v>
      </c>
      <c r="G215" t="s">
        <v>13</v>
      </c>
      <c r="H215" s="2">
        <v>46118</v>
      </c>
      <c r="I215" s="2">
        <v>46117</v>
      </c>
      <c r="J215">
        <v>-1</v>
      </c>
      <c r="K215" t="s">
        <v>1344</v>
      </c>
    </row>
    <row r="216" spans="1:11" x14ac:dyDescent="0.35">
      <c r="A216" t="s">
        <v>242</v>
      </c>
      <c r="B216" s="2">
        <v>46165</v>
      </c>
      <c r="C216" t="s">
        <v>34</v>
      </c>
      <c r="D216" t="s">
        <v>35</v>
      </c>
      <c r="E216" t="s">
        <v>46</v>
      </c>
      <c r="F216">
        <v>30</v>
      </c>
      <c r="G216" t="s">
        <v>26</v>
      </c>
      <c r="H216" s="2">
        <v>46166</v>
      </c>
      <c r="I216" s="2"/>
      <c r="K216" t="s">
        <v>26</v>
      </c>
    </row>
    <row r="217" spans="1:11" x14ac:dyDescent="0.35">
      <c r="A217" t="s">
        <v>243</v>
      </c>
      <c r="B217" s="2">
        <v>46156</v>
      </c>
      <c r="C217" t="s">
        <v>19</v>
      </c>
      <c r="D217" t="s">
        <v>20</v>
      </c>
      <c r="E217" t="s">
        <v>43</v>
      </c>
      <c r="F217">
        <v>1</v>
      </c>
      <c r="G217" t="s">
        <v>13</v>
      </c>
      <c r="H217" s="2">
        <v>46157</v>
      </c>
      <c r="I217" s="2">
        <v>46157</v>
      </c>
      <c r="J217">
        <v>0</v>
      </c>
      <c r="K217" t="s">
        <v>1344</v>
      </c>
    </row>
    <row r="218" spans="1:11" x14ac:dyDescent="0.35">
      <c r="A218" t="s">
        <v>244</v>
      </c>
      <c r="B218" s="2">
        <v>46202</v>
      </c>
      <c r="C218" t="s">
        <v>34</v>
      </c>
      <c r="D218" t="s">
        <v>35</v>
      </c>
      <c r="E218" t="s">
        <v>32</v>
      </c>
      <c r="F218">
        <v>4</v>
      </c>
      <c r="G218" t="s">
        <v>13</v>
      </c>
      <c r="H218" s="2">
        <v>46203</v>
      </c>
      <c r="I218" s="2">
        <v>46202</v>
      </c>
      <c r="J218">
        <v>-1</v>
      </c>
      <c r="K218" t="s">
        <v>1344</v>
      </c>
    </row>
    <row r="219" spans="1:11" x14ac:dyDescent="0.35">
      <c r="A219" t="s">
        <v>245</v>
      </c>
      <c r="B219" s="2">
        <v>46144</v>
      </c>
      <c r="C219" t="s">
        <v>15</v>
      </c>
      <c r="D219" t="s">
        <v>16</v>
      </c>
      <c r="E219" t="s">
        <v>32</v>
      </c>
      <c r="F219">
        <v>18</v>
      </c>
      <c r="G219" t="s">
        <v>26</v>
      </c>
      <c r="H219" s="2">
        <v>46148</v>
      </c>
      <c r="I219" s="2"/>
      <c r="K219" t="s">
        <v>26</v>
      </c>
    </row>
    <row r="220" spans="1:11" x14ac:dyDescent="0.35">
      <c r="A220" t="s">
        <v>246</v>
      </c>
      <c r="B220" s="2">
        <v>46182</v>
      </c>
      <c r="C220" t="s">
        <v>34</v>
      </c>
      <c r="D220" t="s">
        <v>35</v>
      </c>
      <c r="E220" t="s">
        <v>17</v>
      </c>
      <c r="F220">
        <v>5</v>
      </c>
      <c r="G220" t="s">
        <v>13</v>
      </c>
      <c r="H220" s="2">
        <v>46183</v>
      </c>
      <c r="I220" s="2">
        <v>46183</v>
      </c>
      <c r="J220">
        <v>0</v>
      </c>
      <c r="K220" t="s">
        <v>1344</v>
      </c>
    </row>
    <row r="221" spans="1:11" x14ac:dyDescent="0.35">
      <c r="A221" t="s">
        <v>247</v>
      </c>
      <c r="B221" s="2">
        <v>46144</v>
      </c>
      <c r="C221" t="s">
        <v>34</v>
      </c>
      <c r="D221" t="s">
        <v>35</v>
      </c>
      <c r="E221" t="s">
        <v>12</v>
      </c>
      <c r="F221">
        <v>19</v>
      </c>
      <c r="G221" t="s">
        <v>13</v>
      </c>
      <c r="H221" s="2">
        <v>46148</v>
      </c>
      <c r="I221" s="2">
        <v>46147</v>
      </c>
      <c r="J221">
        <v>-1</v>
      </c>
      <c r="K221" t="s">
        <v>1344</v>
      </c>
    </row>
    <row r="222" spans="1:11" x14ac:dyDescent="0.35">
      <c r="A222" t="s">
        <v>248</v>
      </c>
      <c r="B222" s="2">
        <v>46180</v>
      </c>
      <c r="C222" t="s">
        <v>10</v>
      </c>
      <c r="D222" t="s">
        <v>11</v>
      </c>
      <c r="E222" t="s">
        <v>17</v>
      </c>
      <c r="F222">
        <v>15</v>
      </c>
      <c r="G222" t="s">
        <v>26</v>
      </c>
      <c r="H222" s="2">
        <v>46183</v>
      </c>
      <c r="I222" s="2"/>
      <c r="K222" t="s">
        <v>26</v>
      </c>
    </row>
    <row r="223" spans="1:11" x14ac:dyDescent="0.35">
      <c r="A223" t="s">
        <v>249</v>
      </c>
      <c r="B223" s="2">
        <v>46167</v>
      </c>
      <c r="C223" t="s">
        <v>15</v>
      </c>
      <c r="D223" t="s">
        <v>16</v>
      </c>
      <c r="E223" t="s">
        <v>17</v>
      </c>
      <c r="F223">
        <v>28</v>
      </c>
      <c r="G223" t="s">
        <v>26</v>
      </c>
      <c r="H223" s="2">
        <v>46171</v>
      </c>
      <c r="I223" s="2"/>
      <c r="K223" t="s">
        <v>26</v>
      </c>
    </row>
    <row r="224" spans="1:11" x14ac:dyDescent="0.35">
      <c r="A224" t="s">
        <v>250</v>
      </c>
      <c r="B224" s="2">
        <v>46187</v>
      </c>
      <c r="C224" t="s">
        <v>15</v>
      </c>
      <c r="D224" t="s">
        <v>16</v>
      </c>
      <c r="E224" t="s">
        <v>17</v>
      </c>
      <c r="F224">
        <v>8</v>
      </c>
      <c r="G224" t="s">
        <v>62</v>
      </c>
      <c r="H224" s="2">
        <v>46190</v>
      </c>
      <c r="I224" s="2">
        <v>46193</v>
      </c>
      <c r="J224">
        <v>3</v>
      </c>
      <c r="K224" t="s">
        <v>62</v>
      </c>
    </row>
    <row r="225" spans="1:11" x14ac:dyDescent="0.35">
      <c r="A225" t="s">
        <v>251</v>
      </c>
      <c r="B225" s="2">
        <v>46168</v>
      </c>
      <c r="C225" t="s">
        <v>15</v>
      </c>
      <c r="D225" t="s">
        <v>16</v>
      </c>
      <c r="E225" t="s">
        <v>22</v>
      </c>
      <c r="F225">
        <v>20</v>
      </c>
      <c r="G225" t="s">
        <v>13</v>
      </c>
      <c r="H225" s="2">
        <v>46169</v>
      </c>
      <c r="I225" s="2">
        <v>46169</v>
      </c>
      <c r="J225">
        <v>0</v>
      </c>
      <c r="K225" t="s">
        <v>1344</v>
      </c>
    </row>
    <row r="226" spans="1:11" x14ac:dyDescent="0.35">
      <c r="A226" t="s">
        <v>252</v>
      </c>
      <c r="B226" s="2">
        <v>46129</v>
      </c>
      <c r="C226" t="s">
        <v>15</v>
      </c>
      <c r="D226" t="s">
        <v>16</v>
      </c>
      <c r="E226" t="s">
        <v>46</v>
      </c>
      <c r="F226">
        <v>17</v>
      </c>
      <c r="G226" t="s">
        <v>13</v>
      </c>
      <c r="H226" s="2">
        <v>46132</v>
      </c>
      <c r="I226" s="2">
        <v>46131</v>
      </c>
      <c r="J226">
        <v>-1</v>
      </c>
      <c r="K226" t="s">
        <v>1344</v>
      </c>
    </row>
    <row r="227" spans="1:11" x14ac:dyDescent="0.35">
      <c r="A227" t="s">
        <v>253</v>
      </c>
      <c r="B227" s="2">
        <v>46150</v>
      </c>
      <c r="C227" t="s">
        <v>10</v>
      </c>
      <c r="D227" t="s">
        <v>11</v>
      </c>
      <c r="E227" t="s">
        <v>55</v>
      </c>
      <c r="F227">
        <v>1</v>
      </c>
      <c r="G227" t="s">
        <v>13</v>
      </c>
      <c r="H227" s="2">
        <v>46154</v>
      </c>
      <c r="I227" s="2">
        <v>46154</v>
      </c>
      <c r="J227">
        <v>0</v>
      </c>
      <c r="K227" t="s">
        <v>1344</v>
      </c>
    </row>
    <row r="228" spans="1:11" x14ac:dyDescent="0.35">
      <c r="A228" t="s">
        <v>254</v>
      </c>
      <c r="B228" s="2">
        <v>46136</v>
      </c>
      <c r="C228" t="s">
        <v>15</v>
      </c>
      <c r="D228" t="s">
        <v>16</v>
      </c>
      <c r="E228" t="s">
        <v>46</v>
      </c>
      <c r="F228">
        <v>12</v>
      </c>
      <c r="G228" t="s">
        <v>13</v>
      </c>
      <c r="H228" s="2">
        <v>46138</v>
      </c>
      <c r="I228" s="2">
        <v>46137</v>
      </c>
      <c r="J228">
        <v>-1</v>
      </c>
      <c r="K228" t="s">
        <v>1344</v>
      </c>
    </row>
    <row r="229" spans="1:11" x14ac:dyDescent="0.35">
      <c r="A229" t="s">
        <v>255</v>
      </c>
      <c r="B229" s="2">
        <v>46181</v>
      </c>
      <c r="C229" t="s">
        <v>10</v>
      </c>
      <c r="D229" t="s">
        <v>11</v>
      </c>
      <c r="E229" t="s">
        <v>12</v>
      </c>
      <c r="F229">
        <v>26</v>
      </c>
      <c r="G229" t="s">
        <v>13</v>
      </c>
      <c r="H229" s="2">
        <v>46184</v>
      </c>
      <c r="I229" s="2">
        <v>46184</v>
      </c>
      <c r="J229">
        <v>0</v>
      </c>
      <c r="K229" t="s">
        <v>1344</v>
      </c>
    </row>
    <row r="230" spans="1:11" x14ac:dyDescent="0.35">
      <c r="A230" t="s">
        <v>256</v>
      </c>
      <c r="B230" s="2">
        <v>46182</v>
      </c>
      <c r="C230" t="s">
        <v>34</v>
      </c>
      <c r="D230" t="s">
        <v>35</v>
      </c>
      <c r="E230" t="s">
        <v>24</v>
      </c>
      <c r="F230">
        <v>19</v>
      </c>
      <c r="G230" t="s">
        <v>13</v>
      </c>
      <c r="H230" s="2">
        <v>46185</v>
      </c>
      <c r="I230" s="2">
        <v>46184</v>
      </c>
      <c r="J230">
        <v>-1</v>
      </c>
      <c r="K230" t="s">
        <v>1344</v>
      </c>
    </row>
    <row r="231" spans="1:11" x14ac:dyDescent="0.35">
      <c r="A231" t="s">
        <v>257</v>
      </c>
      <c r="B231" s="2">
        <v>46198</v>
      </c>
      <c r="C231" t="s">
        <v>10</v>
      </c>
      <c r="D231" t="s">
        <v>11</v>
      </c>
      <c r="E231" t="s">
        <v>17</v>
      </c>
      <c r="F231">
        <v>15</v>
      </c>
      <c r="G231" t="s">
        <v>62</v>
      </c>
      <c r="H231" s="2">
        <v>46199</v>
      </c>
      <c r="I231" s="2">
        <v>46203</v>
      </c>
      <c r="J231">
        <v>4</v>
      </c>
      <c r="K231" t="s">
        <v>62</v>
      </c>
    </row>
    <row r="232" spans="1:11" x14ac:dyDescent="0.35">
      <c r="A232" t="s">
        <v>258</v>
      </c>
      <c r="B232" s="2">
        <v>46123</v>
      </c>
      <c r="C232" t="s">
        <v>19</v>
      </c>
      <c r="D232" t="s">
        <v>20</v>
      </c>
      <c r="E232" t="s">
        <v>46</v>
      </c>
      <c r="F232">
        <v>9</v>
      </c>
      <c r="G232" t="s">
        <v>13</v>
      </c>
      <c r="H232" s="2">
        <v>46127</v>
      </c>
      <c r="I232" s="2">
        <v>46127</v>
      </c>
      <c r="J232">
        <v>0</v>
      </c>
      <c r="K232" t="s">
        <v>1344</v>
      </c>
    </row>
    <row r="233" spans="1:11" x14ac:dyDescent="0.35">
      <c r="A233" t="s">
        <v>259</v>
      </c>
      <c r="B233" s="2">
        <v>46128</v>
      </c>
      <c r="C233" t="s">
        <v>34</v>
      </c>
      <c r="D233" t="s">
        <v>35</v>
      </c>
      <c r="E233" t="s">
        <v>12</v>
      </c>
      <c r="F233">
        <v>7</v>
      </c>
      <c r="G233" t="s">
        <v>13</v>
      </c>
      <c r="H233" s="2">
        <v>46131</v>
      </c>
      <c r="I233" s="2">
        <v>46130</v>
      </c>
      <c r="J233">
        <v>-1</v>
      </c>
      <c r="K233" t="s">
        <v>1344</v>
      </c>
    </row>
    <row r="234" spans="1:11" x14ac:dyDescent="0.35">
      <c r="A234" t="s">
        <v>260</v>
      </c>
      <c r="B234" s="2">
        <v>46185</v>
      </c>
      <c r="C234" t="s">
        <v>19</v>
      </c>
      <c r="D234" t="s">
        <v>20</v>
      </c>
      <c r="E234" t="s">
        <v>24</v>
      </c>
      <c r="F234">
        <v>2</v>
      </c>
      <c r="G234" t="s">
        <v>13</v>
      </c>
      <c r="H234" s="2">
        <v>46188</v>
      </c>
      <c r="I234" s="2">
        <v>46188</v>
      </c>
      <c r="J234">
        <v>0</v>
      </c>
      <c r="K234" t="s">
        <v>1344</v>
      </c>
    </row>
    <row r="235" spans="1:11" x14ac:dyDescent="0.35">
      <c r="A235" t="s">
        <v>261</v>
      </c>
      <c r="B235" s="2">
        <v>46171</v>
      </c>
      <c r="C235" t="s">
        <v>34</v>
      </c>
      <c r="D235" t="s">
        <v>35</v>
      </c>
      <c r="E235" t="s">
        <v>24</v>
      </c>
      <c r="F235">
        <v>29</v>
      </c>
      <c r="G235" t="s">
        <v>13</v>
      </c>
      <c r="H235" s="2">
        <v>46174</v>
      </c>
      <c r="I235" s="2">
        <v>46173</v>
      </c>
      <c r="J235">
        <v>-1</v>
      </c>
      <c r="K235" t="s">
        <v>1344</v>
      </c>
    </row>
    <row r="236" spans="1:11" x14ac:dyDescent="0.35">
      <c r="A236" t="s">
        <v>262</v>
      </c>
      <c r="B236" s="2">
        <v>46182</v>
      </c>
      <c r="C236" t="s">
        <v>34</v>
      </c>
      <c r="D236" t="s">
        <v>35</v>
      </c>
      <c r="E236" t="s">
        <v>17</v>
      </c>
      <c r="F236">
        <v>9</v>
      </c>
      <c r="G236" t="s">
        <v>13</v>
      </c>
      <c r="H236" s="2">
        <v>46185</v>
      </c>
      <c r="I236" s="2">
        <v>46184</v>
      </c>
      <c r="J236">
        <v>-1</v>
      </c>
      <c r="K236" t="s">
        <v>1344</v>
      </c>
    </row>
    <row r="237" spans="1:11" x14ac:dyDescent="0.35">
      <c r="A237" t="s">
        <v>263</v>
      </c>
      <c r="B237" s="2">
        <v>46192</v>
      </c>
      <c r="C237" t="s">
        <v>19</v>
      </c>
      <c r="D237" t="s">
        <v>20</v>
      </c>
      <c r="E237" t="s">
        <v>55</v>
      </c>
      <c r="F237">
        <v>10</v>
      </c>
      <c r="G237" t="s">
        <v>13</v>
      </c>
      <c r="H237" s="2">
        <v>46194</v>
      </c>
      <c r="I237" s="2">
        <v>46193</v>
      </c>
      <c r="J237">
        <v>-1</v>
      </c>
      <c r="K237" t="s">
        <v>1344</v>
      </c>
    </row>
    <row r="238" spans="1:11" x14ac:dyDescent="0.35">
      <c r="A238" t="s">
        <v>264</v>
      </c>
      <c r="B238" s="2">
        <v>46115</v>
      </c>
      <c r="C238" t="s">
        <v>15</v>
      </c>
      <c r="D238" t="s">
        <v>16</v>
      </c>
      <c r="E238" t="s">
        <v>43</v>
      </c>
      <c r="F238">
        <v>2</v>
      </c>
      <c r="G238" t="s">
        <v>13</v>
      </c>
      <c r="H238" s="2">
        <v>46119</v>
      </c>
      <c r="I238" s="2">
        <v>46118</v>
      </c>
      <c r="J238">
        <v>-1</v>
      </c>
      <c r="K238" t="s">
        <v>1344</v>
      </c>
    </row>
    <row r="239" spans="1:11" x14ac:dyDescent="0.35">
      <c r="A239" t="s">
        <v>265</v>
      </c>
      <c r="B239" s="2">
        <v>46132</v>
      </c>
      <c r="C239" t="s">
        <v>15</v>
      </c>
      <c r="D239" t="s">
        <v>16</v>
      </c>
      <c r="E239" t="s">
        <v>22</v>
      </c>
      <c r="F239">
        <v>19</v>
      </c>
      <c r="G239" t="s">
        <v>13</v>
      </c>
      <c r="H239" s="2">
        <v>46133</v>
      </c>
      <c r="I239" s="2">
        <v>46133</v>
      </c>
      <c r="J239">
        <v>0</v>
      </c>
      <c r="K239" t="s">
        <v>1344</v>
      </c>
    </row>
    <row r="240" spans="1:11" x14ac:dyDescent="0.35">
      <c r="A240" t="s">
        <v>266</v>
      </c>
      <c r="B240" s="2">
        <v>46171</v>
      </c>
      <c r="C240" t="s">
        <v>19</v>
      </c>
      <c r="D240" t="s">
        <v>20</v>
      </c>
      <c r="E240" t="s">
        <v>46</v>
      </c>
      <c r="F240">
        <v>11</v>
      </c>
      <c r="G240" t="s">
        <v>26</v>
      </c>
      <c r="H240" s="2">
        <v>46172</v>
      </c>
      <c r="I240" s="2"/>
      <c r="K240" t="s">
        <v>26</v>
      </c>
    </row>
    <row r="241" spans="1:11" x14ac:dyDescent="0.35">
      <c r="A241" t="s">
        <v>267</v>
      </c>
      <c r="B241" s="2">
        <v>46148</v>
      </c>
      <c r="C241" t="s">
        <v>15</v>
      </c>
      <c r="D241" t="s">
        <v>16</v>
      </c>
      <c r="E241" t="s">
        <v>24</v>
      </c>
      <c r="F241">
        <v>13</v>
      </c>
      <c r="G241" t="s">
        <v>26</v>
      </c>
      <c r="H241" s="2">
        <v>46150</v>
      </c>
      <c r="I241" s="2"/>
      <c r="K241" t="s">
        <v>26</v>
      </c>
    </row>
    <row r="242" spans="1:11" x14ac:dyDescent="0.35">
      <c r="A242" t="s">
        <v>268</v>
      </c>
      <c r="B242" s="2">
        <v>46131</v>
      </c>
      <c r="C242" t="s">
        <v>19</v>
      </c>
      <c r="D242" t="s">
        <v>20</v>
      </c>
      <c r="E242" t="s">
        <v>46</v>
      </c>
      <c r="F242">
        <v>10</v>
      </c>
      <c r="G242" t="s">
        <v>13</v>
      </c>
      <c r="H242" s="2">
        <v>46135</v>
      </c>
      <c r="I242" s="2">
        <v>46134</v>
      </c>
      <c r="J242">
        <v>-1</v>
      </c>
      <c r="K242" t="s">
        <v>1344</v>
      </c>
    </row>
    <row r="243" spans="1:11" x14ac:dyDescent="0.35">
      <c r="A243" t="s">
        <v>269</v>
      </c>
      <c r="B243" s="2">
        <v>46202</v>
      </c>
      <c r="C243" t="s">
        <v>34</v>
      </c>
      <c r="D243" t="s">
        <v>35</v>
      </c>
      <c r="E243" t="s">
        <v>43</v>
      </c>
      <c r="F243">
        <v>14</v>
      </c>
      <c r="G243" t="s">
        <v>13</v>
      </c>
      <c r="H243" s="2">
        <v>46205</v>
      </c>
      <c r="I243" s="2">
        <v>46204</v>
      </c>
      <c r="J243">
        <v>-1</v>
      </c>
      <c r="K243" t="s">
        <v>1344</v>
      </c>
    </row>
    <row r="244" spans="1:11" x14ac:dyDescent="0.35">
      <c r="A244" t="s">
        <v>270</v>
      </c>
      <c r="B244" s="2">
        <v>46179</v>
      </c>
      <c r="C244" t="s">
        <v>19</v>
      </c>
      <c r="D244" t="s">
        <v>20</v>
      </c>
      <c r="E244" t="s">
        <v>22</v>
      </c>
      <c r="F244">
        <v>18</v>
      </c>
      <c r="G244" t="s">
        <v>26</v>
      </c>
      <c r="H244" s="2">
        <v>46181</v>
      </c>
      <c r="I244" s="2"/>
      <c r="K244" t="s">
        <v>26</v>
      </c>
    </row>
    <row r="245" spans="1:11" x14ac:dyDescent="0.35">
      <c r="A245" t="s">
        <v>271</v>
      </c>
      <c r="B245" s="2">
        <v>46131</v>
      </c>
      <c r="C245" t="s">
        <v>10</v>
      </c>
      <c r="D245" t="s">
        <v>11</v>
      </c>
      <c r="E245" t="s">
        <v>43</v>
      </c>
      <c r="F245">
        <v>19</v>
      </c>
      <c r="G245" t="s">
        <v>26</v>
      </c>
      <c r="H245" s="2">
        <v>46135</v>
      </c>
      <c r="I245" s="2"/>
      <c r="K245" t="s">
        <v>26</v>
      </c>
    </row>
    <row r="246" spans="1:11" x14ac:dyDescent="0.35">
      <c r="A246" t="s">
        <v>272</v>
      </c>
      <c r="B246" s="2">
        <v>46132</v>
      </c>
      <c r="C246" t="s">
        <v>10</v>
      </c>
      <c r="D246" t="s">
        <v>11</v>
      </c>
      <c r="E246" t="s">
        <v>22</v>
      </c>
      <c r="F246">
        <v>22</v>
      </c>
      <c r="G246" t="s">
        <v>13</v>
      </c>
      <c r="H246" s="2">
        <v>46135</v>
      </c>
      <c r="I246" s="2">
        <v>46135</v>
      </c>
      <c r="J246">
        <v>0</v>
      </c>
      <c r="K246" t="s">
        <v>1344</v>
      </c>
    </row>
    <row r="247" spans="1:11" x14ac:dyDescent="0.35">
      <c r="A247" t="s">
        <v>273</v>
      </c>
      <c r="B247" s="2">
        <v>46183</v>
      </c>
      <c r="C247" t="s">
        <v>19</v>
      </c>
      <c r="D247" t="s">
        <v>20</v>
      </c>
      <c r="E247" t="s">
        <v>32</v>
      </c>
      <c r="F247">
        <v>9</v>
      </c>
      <c r="G247" t="s">
        <v>26</v>
      </c>
      <c r="H247" s="2">
        <v>46185</v>
      </c>
      <c r="I247" s="2"/>
      <c r="K247" t="s">
        <v>26</v>
      </c>
    </row>
    <row r="248" spans="1:11" x14ac:dyDescent="0.35">
      <c r="A248" t="s">
        <v>274</v>
      </c>
      <c r="B248" s="2">
        <v>46164</v>
      </c>
      <c r="C248" t="s">
        <v>34</v>
      </c>
      <c r="D248" t="s">
        <v>35</v>
      </c>
      <c r="E248" t="s">
        <v>22</v>
      </c>
      <c r="F248">
        <v>25</v>
      </c>
      <c r="G248" t="s">
        <v>13</v>
      </c>
      <c r="H248" s="2">
        <v>46168</v>
      </c>
      <c r="I248" s="2">
        <v>46168</v>
      </c>
      <c r="J248">
        <v>0</v>
      </c>
      <c r="K248" t="s">
        <v>1344</v>
      </c>
    </row>
    <row r="249" spans="1:11" x14ac:dyDescent="0.35">
      <c r="A249" t="s">
        <v>275</v>
      </c>
      <c r="B249" s="2">
        <v>46145</v>
      </c>
      <c r="C249" t="s">
        <v>19</v>
      </c>
      <c r="D249" t="s">
        <v>20</v>
      </c>
      <c r="E249" t="s">
        <v>17</v>
      </c>
      <c r="F249">
        <v>7</v>
      </c>
      <c r="G249" t="s">
        <v>26</v>
      </c>
      <c r="H249" s="2">
        <v>46146</v>
      </c>
      <c r="I249" s="2"/>
      <c r="K249" t="s">
        <v>26</v>
      </c>
    </row>
    <row r="250" spans="1:11" x14ac:dyDescent="0.35">
      <c r="A250" t="s">
        <v>276</v>
      </c>
      <c r="B250" s="2">
        <v>46152</v>
      </c>
      <c r="C250" t="s">
        <v>15</v>
      </c>
      <c r="D250" t="s">
        <v>16</v>
      </c>
      <c r="E250" t="s">
        <v>55</v>
      </c>
      <c r="F250">
        <v>28</v>
      </c>
      <c r="G250" t="s">
        <v>62</v>
      </c>
      <c r="H250" s="2">
        <v>46153</v>
      </c>
      <c r="I250" s="2">
        <v>46154</v>
      </c>
      <c r="J250">
        <v>1</v>
      </c>
      <c r="K250" t="s">
        <v>62</v>
      </c>
    </row>
    <row r="251" spans="1:11" x14ac:dyDescent="0.35">
      <c r="A251" t="s">
        <v>277</v>
      </c>
      <c r="B251" s="2">
        <v>46151</v>
      </c>
      <c r="C251" t="s">
        <v>34</v>
      </c>
      <c r="D251" t="s">
        <v>35</v>
      </c>
      <c r="E251" t="s">
        <v>43</v>
      </c>
      <c r="F251">
        <v>3</v>
      </c>
      <c r="G251" t="s">
        <v>13</v>
      </c>
      <c r="H251" s="2">
        <v>46155</v>
      </c>
      <c r="I251" s="2">
        <v>46155</v>
      </c>
      <c r="J251">
        <v>0</v>
      </c>
      <c r="K251" t="s">
        <v>1344</v>
      </c>
    </row>
    <row r="252" spans="1:11" x14ac:dyDescent="0.35">
      <c r="A252" t="s">
        <v>278</v>
      </c>
      <c r="B252" s="2">
        <v>46194</v>
      </c>
      <c r="C252" t="s">
        <v>15</v>
      </c>
      <c r="D252" t="s">
        <v>16</v>
      </c>
      <c r="E252" t="s">
        <v>24</v>
      </c>
      <c r="F252">
        <v>20</v>
      </c>
      <c r="G252" t="s">
        <v>26</v>
      </c>
      <c r="H252" s="2">
        <v>46195</v>
      </c>
      <c r="I252" s="2"/>
      <c r="K252" t="s">
        <v>26</v>
      </c>
    </row>
    <row r="253" spans="1:11" x14ac:dyDescent="0.35">
      <c r="A253" t="s">
        <v>279</v>
      </c>
      <c r="B253" s="2">
        <v>46113</v>
      </c>
      <c r="C253" t="s">
        <v>34</v>
      </c>
      <c r="D253" t="s">
        <v>35</v>
      </c>
      <c r="E253" t="s">
        <v>17</v>
      </c>
      <c r="F253">
        <v>6</v>
      </c>
      <c r="G253" t="s">
        <v>13</v>
      </c>
      <c r="H253" s="2">
        <v>46117</v>
      </c>
      <c r="I253" s="2">
        <v>46117</v>
      </c>
      <c r="J253">
        <v>0</v>
      </c>
      <c r="K253" t="s">
        <v>1344</v>
      </c>
    </row>
    <row r="254" spans="1:11" x14ac:dyDescent="0.35">
      <c r="A254" t="s">
        <v>280</v>
      </c>
      <c r="B254" s="2">
        <v>46123</v>
      </c>
      <c r="C254" t="s">
        <v>15</v>
      </c>
      <c r="D254" t="s">
        <v>16</v>
      </c>
      <c r="E254" t="s">
        <v>32</v>
      </c>
      <c r="F254">
        <v>27</v>
      </c>
      <c r="G254" t="s">
        <v>62</v>
      </c>
      <c r="H254" s="2">
        <v>46126</v>
      </c>
      <c r="I254" s="2">
        <v>46129</v>
      </c>
      <c r="J254">
        <v>3</v>
      </c>
      <c r="K254" t="s">
        <v>62</v>
      </c>
    </row>
    <row r="255" spans="1:11" x14ac:dyDescent="0.35">
      <c r="A255" t="s">
        <v>281</v>
      </c>
      <c r="B255" s="2">
        <v>46169</v>
      </c>
      <c r="C255" t="s">
        <v>19</v>
      </c>
      <c r="D255" t="s">
        <v>20</v>
      </c>
      <c r="E255" t="s">
        <v>55</v>
      </c>
      <c r="F255">
        <v>21</v>
      </c>
      <c r="G255" t="s">
        <v>13</v>
      </c>
      <c r="H255" s="2">
        <v>46173</v>
      </c>
      <c r="I255" s="2">
        <v>46172</v>
      </c>
      <c r="J255">
        <v>-1</v>
      </c>
      <c r="K255" t="s">
        <v>1344</v>
      </c>
    </row>
    <row r="256" spans="1:11" x14ac:dyDescent="0.35">
      <c r="A256" t="s">
        <v>282</v>
      </c>
      <c r="B256" s="2">
        <v>46201</v>
      </c>
      <c r="C256" t="s">
        <v>19</v>
      </c>
      <c r="D256" t="s">
        <v>20</v>
      </c>
      <c r="E256" t="s">
        <v>46</v>
      </c>
      <c r="F256">
        <v>2</v>
      </c>
      <c r="G256" t="s">
        <v>26</v>
      </c>
      <c r="H256" s="2">
        <v>46204</v>
      </c>
      <c r="I256" s="2"/>
      <c r="K256" t="s">
        <v>26</v>
      </c>
    </row>
    <row r="257" spans="1:11" x14ac:dyDescent="0.35">
      <c r="A257" t="s">
        <v>283</v>
      </c>
      <c r="B257" s="2">
        <v>46162</v>
      </c>
      <c r="C257" t="s">
        <v>19</v>
      </c>
      <c r="D257" t="s">
        <v>20</v>
      </c>
      <c r="E257" t="s">
        <v>17</v>
      </c>
      <c r="F257">
        <v>29</v>
      </c>
      <c r="G257" t="s">
        <v>13</v>
      </c>
      <c r="H257" s="2">
        <v>46164</v>
      </c>
      <c r="I257" s="2">
        <v>46164</v>
      </c>
      <c r="J257">
        <v>0</v>
      </c>
      <c r="K257" t="s">
        <v>1344</v>
      </c>
    </row>
    <row r="258" spans="1:11" x14ac:dyDescent="0.35">
      <c r="A258" t="s">
        <v>284</v>
      </c>
      <c r="B258" s="2">
        <v>46135</v>
      </c>
      <c r="C258" t="s">
        <v>15</v>
      </c>
      <c r="D258" t="s">
        <v>16</v>
      </c>
      <c r="E258" t="s">
        <v>43</v>
      </c>
      <c r="F258">
        <v>6</v>
      </c>
      <c r="G258" t="s">
        <v>13</v>
      </c>
      <c r="H258" s="2">
        <v>46139</v>
      </c>
      <c r="I258" s="2">
        <v>46138</v>
      </c>
      <c r="J258">
        <v>-1</v>
      </c>
      <c r="K258" t="s">
        <v>1344</v>
      </c>
    </row>
    <row r="259" spans="1:11" x14ac:dyDescent="0.35">
      <c r="A259" t="s">
        <v>285</v>
      </c>
      <c r="B259" s="2">
        <v>46143</v>
      </c>
      <c r="C259" t="s">
        <v>10</v>
      </c>
      <c r="D259" t="s">
        <v>11</v>
      </c>
      <c r="E259" t="s">
        <v>12</v>
      </c>
      <c r="F259">
        <v>3</v>
      </c>
      <c r="G259" t="s">
        <v>13</v>
      </c>
      <c r="H259" s="2">
        <v>46145</v>
      </c>
      <c r="I259" s="2">
        <v>46145</v>
      </c>
      <c r="J259">
        <v>0</v>
      </c>
      <c r="K259" t="s">
        <v>1344</v>
      </c>
    </row>
    <row r="260" spans="1:11" x14ac:dyDescent="0.35">
      <c r="A260" t="s">
        <v>286</v>
      </c>
      <c r="B260" s="2">
        <v>46154</v>
      </c>
      <c r="C260" t="s">
        <v>34</v>
      </c>
      <c r="D260" t="s">
        <v>35</v>
      </c>
      <c r="E260" t="s">
        <v>12</v>
      </c>
      <c r="F260">
        <v>16</v>
      </c>
      <c r="G260" t="s">
        <v>62</v>
      </c>
      <c r="H260" s="2">
        <v>46155</v>
      </c>
      <c r="I260" s="2">
        <v>46159</v>
      </c>
      <c r="J260">
        <v>4</v>
      </c>
      <c r="K260" t="s">
        <v>62</v>
      </c>
    </row>
    <row r="261" spans="1:11" x14ac:dyDescent="0.35">
      <c r="A261" t="s">
        <v>287</v>
      </c>
      <c r="B261" s="2">
        <v>46119</v>
      </c>
      <c r="C261" t="s">
        <v>34</v>
      </c>
      <c r="D261" t="s">
        <v>35</v>
      </c>
      <c r="E261" t="s">
        <v>24</v>
      </c>
      <c r="F261">
        <v>30</v>
      </c>
      <c r="G261" t="s">
        <v>26</v>
      </c>
      <c r="H261" s="2">
        <v>46122</v>
      </c>
      <c r="I261" s="2"/>
      <c r="K261" t="s">
        <v>26</v>
      </c>
    </row>
    <row r="262" spans="1:11" x14ac:dyDescent="0.35">
      <c r="A262" t="s">
        <v>288</v>
      </c>
      <c r="B262" s="2">
        <v>46128</v>
      </c>
      <c r="C262" t="s">
        <v>34</v>
      </c>
      <c r="D262" t="s">
        <v>35</v>
      </c>
      <c r="E262" t="s">
        <v>22</v>
      </c>
      <c r="F262">
        <v>8</v>
      </c>
      <c r="G262" t="s">
        <v>26</v>
      </c>
      <c r="H262" s="2">
        <v>46132</v>
      </c>
      <c r="I262" s="2"/>
      <c r="K262" t="s">
        <v>26</v>
      </c>
    </row>
    <row r="263" spans="1:11" x14ac:dyDescent="0.35">
      <c r="A263" t="s">
        <v>289</v>
      </c>
      <c r="B263" s="2">
        <v>46202</v>
      </c>
      <c r="C263" t="s">
        <v>34</v>
      </c>
      <c r="D263" t="s">
        <v>35</v>
      </c>
      <c r="E263" t="s">
        <v>24</v>
      </c>
      <c r="F263">
        <v>2</v>
      </c>
      <c r="G263" t="s">
        <v>62</v>
      </c>
      <c r="H263" s="2">
        <v>46204</v>
      </c>
      <c r="I263" s="2">
        <v>46208</v>
      </c>
      <c r="J263">
        <v>4</v>
      </c>
      <c r="K263" t="s">
        <v>62</v>
      </c>
    </row>
    <row r="264" spans="1:11" x14ac:dyDescent="0.35">
      <c r="A264" t="s">
        <v>290</v>
      </c>
      <c r="B264" s="2">
        <v>46172</v>
      </c>
      <c r="C264" t="s">
        <v>10</v>
      </c>
      <c r="D264" t="s">
        <v>11</v>
      </c>
      <c r="E264" t="s">
        <v>12</v>
      </c>
      <c r="F264">
        <v>17</v>
      </c>
      <c r="G264" t="s">
        <v>13</v>
      </c>
      <c r="H264" s="2">
        <v>46175</v>
      </c>
      <c r="I264" s="2">
        <v>46174</v>
      </c>
      <c r="J264">
        <v>-1</v>
      </c>
      <c r="K264" t="s">
        <v>1344</v>
      </c>
    </row>
    <row r="265" spans="1:11" x14ac:dyDescent="0.35">
      <c r="A265" t="s">
        <v>291</v>
      </c>
      <c r="B265" s="2">
        <v>46114</v>
      </c>
      <c r="C265" t="s">
        <v>10</v>
      </c>
      <c r="D265" t="s">
        <v>11</v>
      </c>
      <c r="E265" t="s">
        <v>46</v>
      </c>
      <c r="F265">
        <v>9</v>
      </c>
      <c r="G265" t="s">
        <v>13</v>
      </c>
      <c r="H265" s="2">
        <v>46117</v>
      </c>
      <c r="I265" s="2">
        <v>46117</v>
      </c>
      <c r="J265">
        <v>0</v>
      </c>
      <c r="K265" t="s">
        <v>1344</v>
      </c>
    </row>
    <row r="266" spans="1:11" x14ac:dyDescent="0.35">
      <c r="A266" t="s">
        <v>292</v>
      </c>
      <c r="B266" s="2">
        <v>46113</v>
      </c>
      <c r="C266" t="s">
        <v>34</v>
      </c>
      <c r="D266" t="s">
        <v>35</v>
      </c>
      <c r="E266" t="s">
        <v>32</v>
      </c>
      <c r="F266">
        <v>30</v>
      </c>
      <c r="G266" t="s">
        <v>13</v>
      </c>
      <c r="H266" s="2">
        <v>46114</v>
      </c>
      <c r="I266" s="2">
        <v>46114</v>
      </c>
      <c r="J266">
        <v>0</v>
      </c>
      <c r="K266" t="s">
        <v>1344</v>
      </c>
    </row>
    <row r="267" spans="1:11" x14ac:dyDescent="0.35">
      <c r="A267" t="s">
        <v>293</v>
      </c>
      <c r="B267" s="2">
        <v>46160</v>
      </c>
      <c r="C267" t="s">
        <v>15</v>
      </c>
      <c r="D267" t="s">
        <v>16</v>
      </c>
      <c r="E267" t="s">
        <v>32</v>
      </c>
      <c r="F267">
        <v>12</v>
      </c>
      <c r="G267" t="s">
        <v>13</v>
      </c>
      <c r="H267" s="2">
        <v>46161</v>
      </c>
      <c r="I267" s="2">
        <v>46161</v>
      </c>
      <c r="J267">
        <v>0</v>
      </c>
      <c r="K267" t="s">
        <v>1344</v>
      </c>
    </row>
    <row r="268" spans="1:11" x14ac:dyDescent="0.35">
      <c r="A268" t="s">
        <v>294</v>
      </c>
      <c r="B268" s="2">
        <v>46124</v>
      </c>
      <c r="C268" t="s">
        <v>15</v>
      </c>
      <c r="D268" t="s">
        <v>16</v>
      </c>
      <c r="E268" t="s">
        <v>43</v>
      </c>
      <c r="F268">
        <v>3</v>
      </c>
      <c r="G268" t="s">
        <v>13</v>
      </c>
      <c r="H268" s="2">
        <v>46127</v>
      </c>
      <c r="I268" s="2">
        <v>46127</v>
      </c>
      <c r="J268">
        <v>0</v>
      </c>
      <c r="K268" t="s">
        <v>1344</v>
      </c>
    </row>
    <row r="269" spans="1:11" x14ac:dyDescent="0.35">
      <c r="A269" t="s">
        <v>295</v>
      </c>
      <c r="B269" s="2">
        <v>46181</v>
      </c>
      <c r="C269" t="s">
        <v>15</v>
      </c>
      <c r="D269" t="s">
        <v>16</v>
      </c>
      <c r="E269" t="s">
        <v>32</v>
      </c>
      <c r="F269">
        <v>11</v>
      </c>
      <c r="G269" t="s">
        <v>13</v>
      </c>
      <c r="H269" s="2">
        <v>46184</v>
      </c>
      <c r="I269" s="2">
        <v>46183</v>
      </c>
      <c r="J269">
        <v>-1</v>
      </c>
      <c r="K269" t="s">
        <v>1344</v>
      </c>
    </row>
    <row r="270" spans="1:11" x14ac:dyDescent="0.35">
      <c r="A270" t="s">
        <v>296</v>
      </c>
      <c r="B270" s="2">
        <v>46149</v>
      </c>
      <c r="C270" t="s">
        <v>19</v>
      </c>
      <c r="D270" t="s">
        <v>20</v>
      </c>
      <c r="E270" t="s">
        <v>43</v>
      </c>
      <c r="F270">
        <v>1</v>
      </c>
      <c r="G270" t="s">
        <v>13</v>
      </c>
      <c r="H270" s="2">
        <v>46153</v>
      </c>
      <c r="I270" s="2">
        <v>46153</v>
      </c>
      <c r="J270">
        <v>0</v>
      </c>
      <c r="K270" t="s">
        <v>1344</v>
      </c>
    </row>
    <row r="271" spans="1:11" x14ac:dyDescent="0.35">
      <c r="A271" t="s">
        <v>297</v>
      </c>
      <c r="B271" s="2">
        <v>46144</v>
      </c>
      <c r="C271" t="s">
        <v>15</v>
      </c>
      <c r="D271" t="s">
        <v>16</v>
      </c>
      <c r="E271" t="s">
        <v>17</v>
      </c>
      <c r="F271">
        <v>23</v>
      </c>
      <c r="G271" t="s">
        <v>13</v>
      </c>
      <c r="H271" s="2">
        <v>46147</v>
      </c>
      <c r="I271" s="2">
        <v>46146</v>
      </c>
      <c r="J271">
        <v>-1</v>
      </c>
      <c r="K271" t="s">
        <v>1344</v>
      </c>
    </row>
    <row r="272" spans="1:11" x14ac:dyDescent="0.35">
      <c r="A272" t="s">
        <v>298</v>
      </c>
      <c r="B272" s="2">
        <v>46121</v>
      </c>
      <c r="C272" t="s">
        <v>15</v>
      </c>
      <c r="D272" t="s">
        <v>16</v>
      </c>
      <c r="E272" t="s">
        <v>43</v>
      </c>
      <c r="F272">
        <v>13</v>
      </c>
      <c r="G272" t="s">
        <v>13</v>
      </c>
      <c r="H272" s="2">
        <v>46125</v>
      </c>
      <c r="I272" s="2">
        <v>46124</v>
      </c>
      <c r="J272">
        <v>-1</v>
      </c>
      <c r="K272" t="s">
        <v>1344</v>
      </c>
    </row>
    <row r="273" spans="1:11" x14ac:dyDescent="0.35">
      <c r="A273" t="s">
        <v>299</v>
      </c>
      <c r="B273" s="2">
        <v>46131</v>
      </c>
      <c r="C273" t="s">
        <v>34</v>
      </c>
      <c r="D273" t="s">
        <v>35</v>
      </c>
      <c r="E273" t="s">
        <v>17</v>
      </c>
      <c r="F273">
        <v>15</v>
      </c>
      <c r="G273" t="s">
        <v>13</v>
      </c>
      <c r="H273" s="2">
        <v>46134</v>
      </c>
      <c r="I273" s="2">
        <v>46134</v>
      </c>
      <c r="J273">
        <v>0</v>
      </c>
      <c r="K273" t="s">
        <v>1344</v>
      </c>
    </row>
    <row r="274" spans="1:11" x14ac:dyDescent="0.35">
      <c r="A274" t="s">
        <v>300</v>
      </c>
      <c r="B274" s="2">
        <v>46160</v>
      </c>
      <c r="C274" t="s">
        <v>19</v>
      </c>
      <c r="D274" t="s">
        <v>20</v>
      </c>
      <c r="E274" t="s">
        <v>43</v>
      </c>
      <c r="F274">
        <v>26</v>
      </c>
      <c r="G274" t="s">
        <v>62</v>
      </c>
      <c r="H274" s="2">
        <v>46161</v>
      </c>
      <c r="I274" s="2">
        <v>46164</v>
      </c>
      <c r="J274">
        <v>3</v>
      </c>
      <c r="K274" t="s">
        <v>62</v>
      </c>
    </row>
    <row r="275" spans="1:11" x14ac:dyDescent="0.35">
      <c r="A275" t="s">
        <v>301</v>
      </c>
      <c r="B275" s="2">
        <v>46192</v>
      </c>
      <c r="C275" t="s">
        <v>19</v>
      </c>
      <c r="D275" t="s">
        <v>20</v>
      </c>
      <c r="E275" t="s">
        <v>12</v>
      </c>
      <c r="F275">
        <v>5</v>
      </c>
      <c r="G275" t="s">
        <v>26</v>
      </c>
      <c r="H275" s="2">
        <v>46196</v>
      </c>
      <c r="I275" s="2"/>
      <c r="K275" t="s">
        <v>26</v>
      </c>
    </row>
    <row r="276" spans="1:11" x14ac:dyDescent="0.35">
      <c r="A276" t="s">
        <v>302</v>
      </c>
      <c r="B276" s="2">
        <v>46115</v>
      </c>
      <c r="C276" t="s">
        <v>19</v>
      </c>
      <c r="D276" t="s">
        <v>20</v>
      </c>
      <c r="E276" t="s">
        <v>12</v>
      </c>
      <c r="F276">
        <v>21</v>
      </c>
      <c r="G276" t="s">
        <v>62</v>
      </c>
      <c r="H276" s="2">
        <v>46117</v>
      </c>
      <c r="I276" s="2">
        <v>46118</v>
      </c>
      <c r="J276">
        <v>1</v>
      </c>
      <c r="K276" t="s">
        <v>62</v>
      </c>
    </row>
    <row r="277" spans="1:11" x14ac:dyDescent="0.35">
      <c r="A277" t="s">
        <v>303</v>
      </c>
      <c r="B277" s="2">
        <v>46132</v>
      </c>
      <c r="C277" t="s">
        <v>10</v>
      </c>
      <c r="D277" t="s">
        <v>11</v>
      </c>
      <c r="E277" t="s">
        <v>22</v>
      </c>
      <c r="F277">
        <v>30</v>
      </c>
      <c r="G277" t="s">
        <v>13</v>
      </c>
      <c r="H277" s="2">
        <v>46133</v>
      </c>
      <c r="I277" s="2">
        <v>46132</v>
      </c>
      <c r="J277">
        <v>-1</v>
      </c>
      <c r="K277" t="s">
        <v>1344</v>
      </c>
    </row>
    <row r="278" spans="1:11" x14ac:dyDescent="0.35">
      <c r="A278" t="s">
        <v>304</v>
      </c>
      <c r="B278" s="2">
        <v>46136</v>
      </c>
      <c r="C278" t="s">
        <v>34</v>
      </c>
      <c r="D278" t="s">
        <v>35</v>
      </c>
      <c r="E278" t="s">
        <v>17</v>
      </c>
      <c r="F278">
        <v>17</v>
      </c>
      <c r="G278" t="s">
        <v>13</v>
      </c>
      <c r="H278" s="2">
        <v>46140</v>
      </c>
      <c r="I278" s="2">
        <v>46140</v>
      </c>
      <c r="J278">
        <v>0</v>
      </c>
      <c r="K278" t="s">
        <v>1344</v>
      </c>
    </row>
    <row r="279" spans="1:11" x14ac:dyDescent="0.35">
      <c r="A279" t="s">
        <v>305</v>
      </c>
      <c r="B279" s="2">
        <v>46166</v>
      </c>
      <c r="C279" t="s">
        <v>15</v>
      </c>
      <c r="D279" t="s">
        <v>16</v>
      </c>
      <c r="E279" t="s">
        <v>55</v>
      </c>
      <c r="F279">
        <v>25</v>
      </c>
      <c r="G279" t="s">
        <v>26</v>
      </c>
      <c r="H279" s="2">
        <v>46170</v>
      </c>
      <c r="I279" s="2"/>
      <c r="K279" t="s">
        <v>26</v>
      </c>
    </row>
    <row r="280" spans="1:11" x14ac:dyDescent="0.35">
      <c r="A280" t="s">
        <v>306</v>
      </c>
      <c r="B280" s="2">
        <v>46145</v>
      </c>
      <c r="C280" t="s">
        <v>19</v>
      </c>
      <c r="D280" t="s">
        <v>20</v>
      </c>
      <c r="E280" t="s">
        <v>17</v>
      </c>
      <c r="F280">
        <v>23</v>
      </c>
      <c r="G280" t="s">
        <v>13</v>
      </c>
      <c r="H280" s="2">
        <v>46147</v>
      </c>
      <c r="I280" s="2">
        <v>46146</v>
      </c>
      <c r="J280">
        <v>-1</v>
      </c>
      <c r="K280" t="s">
        <v>1344</v>
      </c>
    </row>
    <row r="281" spans="1:11" x14ac:dyDescent="0.35">
      <c r="A281" t="s">
        <v>307</v>
      </c>
      <c r="B281" s="2">
        <v>46136</v>
      </c>
      <c r="C281" t="s">
        <v>10</v>
      </c>
      <c r="D281" t="s">
        <v>11</v>
      </c>
      <c r="E281" t="s">
        <v>43</v>
      </c>
      <c r="F281">
        <v>24</v>
      </c>
      <c r="G281" t="s">
        <v>13</v>
      </c>
      <c r="H281" s="2">
        <v>46140</v>
      </c>
      <c r="I281" s="2">
        <v>46140</v>
      </c>
      <c r="J281">
        <v>0</v>
      </c>
      <c r="K281" t="s">
        <v>1344</v>
      </c>
    </row>
    <row r="282" spans="1:11" x14ac:dyDescent="0.35">
      <c r="A282" t="s">
        <v>308</v>
      </c>
      <c r="B282" s="2">
        <v>46187</v>
      </c>
      <c r="C282" t="s">
        <v>10</v>
      </c>
      <c r="D282" t="s">
        <v>11</v>
      </c>
      <c r="E282" t="s">
        <v>43</v>
      </c>
      <c r="F282">
        <v>25</v>
      </c>
      <c r="G282" t="s">
        <v>13</v>
      </c>
      <c r="H282" s="2">
        <v>46190</v>
      </c>
      <c r="I282" s="2">
        <v>46189</v>
      </c>
      <c r="J282">
        <v>-1</v>
      </c>
      <c r="K282" t="s">
        <v>1344</v>
      </c>
    </row>
    <row r="283" spans="1:11" x14ac:dyDescent="0.35">
      <c r="A283" t="s">
        <v>309</v>
      </c>
      <c r="B283" s="2">
        <v>46184</v>
      </c>
      <c r="C283" t="s">
        <v>10</v>
      </c>
      <c r="D283" t="s">
        <v>11</v>
      </c>
      <c r="E283" t="s">
        <v>55</v>
      </c>
      <c r="F283">
        <v>6</v>
      </c>
      <c r="G283" t="s">
        <v>13</v>
      </c>
      <c r="H283" s="2">
        <v>46186</v>
      </c>
      <c r="I283" s="2">
        <v>46186</v>
      </c>
      <c r="J283">
        <v>0</v>
      </c>
      <c r="K283" t="s">
        <v>1344</v>
      </c>
    </row>
    <row r="284" spans="1:11" x14ac:dyDescent="0.35">
      <c r="A284" t="s">
        <v>310</v>
      </c>
      <c r="B284" s="2">
        <v>46148</v>
      </c>
      <c r="C284" t="s">
        <v>10</v>
      </c>
      <c r="D284" t="s">
        <v>11</v>
      </c>
      <c r="E284" t="s">
        <v>24</v>
      </c>
      <c r="F284">
        <v>28</v>
      </c>
      <c r="G284" t="s">
        <v>13</v>
      </c>
      <c r="H284" s="2">
        <v>46149</v>
      </c>
      <c r="I284" s="2">
        <v>46149</v>
      </c>
      <c r="J284">
        <v>0</v>
      </c>
      <c r="K284" t="s">
        <v>1344</v>
      </c>
    </row>
    <row r="285" spans="1:11" x14ac:dyDescent="0.35">
      <c r="A285" t="s">
        <v>311</v>
      </c>
      <c r="B285" s="2">
        <v>46150</v>
      </c>
      <c r="C285" t="s">
        <v>10</v>
      </c>
      <c r="D285" t="s">
        <v>11</v>
      </c>
      <c r="E285" t="s">
        <v>43</v>
      </c>
      <c r="F285">
        <v>21</v>
      </c>
      <c r="G285" t="s">
        <v>13</v>
      </c>
      <c r="H285" s="2">
        <v>46151</v>
      </c>
      <c r="I285" s="2">
        <v>46150</v>
      </c>
      <c r="J285">
        <v>-1</v>
      </c>
      <c r="K285" t="s">
        <v>1344</v>
      </c>
    </row>
    <row r="286" spans="1:11" x14ac:dyDescent="0.35">
      <c r="A286" t="s">
        <v>312</v>
      </c>
      <c r="B286" s="2">
        <v>46196</v>
      </c>
      <c r="C286" t="s">
        <v>19</v>
      </c>
      <c r="D286" t="s">
        <v>20</v>
      </c>
      <c r="E286" t="s">
        <v>22</v>
      </c>
      <c r="F286">
        <v>22</v>
      </c>
      <c r="G286" t="s">
        <v>13</v>
      </c>
      <c r="H286" s="2">
        <v>46199</v>
      </c>
      <c r="I286" s="2">
        <v>46199</v>
      </c>
      <c r="J286">
        <v>0</v>
      </c>
      <c r="K286" t="s">
        <v>1344</v>
      </c>
    </row>
    <row r="287" spans="1:11" x14ac:dyDescent="0.35">
      <c r="A287" t="s">
        <v>313</v>
      </c>
      <c r="B287" s="2">
        <v>46201</v>
      </c>
      <c r="C287" t="s">
        <v>19</v>
      </c>
      <c r="D287" t="s">
        <v>20</v>
      </c>
      <c r="E287" t="s">
        <v>32</v>
      </c>
      <c r="F287">
        <v>11</v>
      </c>
      <c r="G287" t="s">
        <v>13</v>
      </c>
      <c r="H287" s="2">
        <v>46202</v>
      </c>
      <c r="I287" s="2">
        <v>46202</v>
      </c>
      <c r="J287">
        <v>0</v>
      </c>
      <c r="K287" t="s">
        <v>1344</v>
      </c>
    </row>
    <row r="288" spans="1:11" x14ac:dyDescent="0.35">
      <c r="A288" t="s">
        <v>314</v>
      </c>
      <c r="B288" s="2">
        <v>46137</v>
      </c>
      <c r="C288" t="s">
        <v>10</v>
      </c>
      <c r="D288" t="s">
        <v>11</v>
      </c>
      <c r="E288" t="s">
        <v>32</v>
      </c>
      <c r="F288">
        <v>18</v>
      </c>
      <c r="G288" t="s">
        <v>13</v>
      </c>
      <c r="H288" s="2">
        <v>46141</v>
      </c>
      <c r="I288" s="2">
        <v>46141</v>
      </c>
      <c r="J288">
        <v>0</v>
      </c>
      <c r="K288" t="s">
        <v>1344</v>
      </c>
    </row>
    <row r="289" spans="1:11" x14ac:dyDescent="0.35">
      <c r="A289" t="s">
        <v>315</v>
      </c>
      <c r="B289" s="2">
        <v>46130</v>
      </c>
      <c r="C289" t="s">
        <v>10</v>
      </c>
      <c r="D289" t="s">
        <v>11</v>
      </c>
      <c r="E289" t="s">
        <v>46</v>
      </c>
      <c r="F289">
        <v>4</v>
      </c>
      <c r="G289" t="s">
        <v>26</v>
      </c>
      <c r="H289" s="2">
        <v>46134</v>
      </c>
      <c r="I289" s="2"/>
      <c r="K289" t="s">
        <v>26</v>
      </c>
    </row>
    <row r="290" spans="1:11" x14ac:dyDescent="0.35">
      <c r="A290" t="s">
        <v>316</v>
      </c>
      <c r="B290" s="2">
        <v>46194</v>
      </c>
      <c r="C290" t="s">
        <v>15</v>
      </c>
      <c r="D290" t="s">
        <v>16</v>
      </c>
      <c r="E290" t="s">
        <v>46</v>
      </c>
      <c r="F290">
        <v>3</v>
      </c>
      <c r="G290" t="s">
        <v>13</v>
      </c>
      <c r="H290" s="2">
        <v>46197</v>
      </c>
      <c r="I290" s="2">
        <v>46197</v>
      </c>
      <c r="J290">
        <v>0</v>
      </c>
      <c r="K290" t="s">
        <v>1344</v>
      </c>
    </row>
    <row r="291" spans="1:11" x14ac:dyDescent="0.35">
      <c r="A291" t="s">
        <v>317</v>
      </c>
      <c r="B291" s="2">
        <v>46178</v>
      </c>
      <c r="C291" t="s">
        <v>10</v>
      </c>
      <c r="D291" t="s">
        <v>11</v>
      </c>
      <c r="E291" t="s">
        <v>32</v>
      </c>
      <c r="F291">
        <v>13</v>
      </c>
      <c r="G291" t="s">
        <v>13</v>
      </c>
      <c r="H291" s="2">
        <v>46179</v>
      </c>
      <c r="I291" s="2">
        <v>46179</v>
      </c>
      <c r="J291">
        <v>0</v>
      </c>
      <c r="K291" t="s">
        <v>1344</v>
      </c>
    </row>
    <row r="292" spans="1:11" x14ac:dyDescent="0.35">
      <c r="A292" t="s">
        <v>318</v>
      </c>
      <c r="B292" s="2">
        <v>46166</v>
      </c>
      <c r="C292" t="s">
        <v>15</v>
      </c>
      <c r="D292" t="s">
        <v>16</v>
      </c>
      <c r="E292" t="s">
        <v>32</v>
      </c>
      <c r="F292">
        <v>23</v>
      </c>
      <c r="G292" t="s">
        <v>26</v>
      </c>
      <c r="H292" s="2">
        <v>46167</v>
      </c>
      <c r="I292" s="2"/>
      <c r="K292" t="s">
        <v>26</v>
      </c>
    </row>
    <row r="293" spans="1:11" x14ac:dyDescent="0.35">
      <c r="A293" t="s">
        <v>319</v>
      </c>
      <c r="B293" s="2">
        <v>46147</v>
      </c>
      <c r="C293" t="s">
        <v>10</v>
      </c>
      <c r="D293" t="s">
        <v>11</v>
      </c>
      <c r="E293" t="s">
        <v>12</v>
      </c>
      <c r="F293">
        <v>9</v>
      </c>
      <c r="G293" t="s">
        <v>13</v>
      </c>
      <c r="H293" s="2">
        <v>46150</v>
      </c>
      <c r="I293" s="2">
        <v>46150</v>
      </c>
      <c r="J293">
        <v>0</v>
      </c>
      <c r="K293" t="s">
        <v>1344</v>
      </c>
    </row>
    <row r="294" spans="1:11" x14ac:dyDescent="0.35">
      <c r="A294" t="s">
        <v>320</v>
      </c>
      <c r="B294" s="2">
        <v>46192</v>
      </c>
      <c r="C294" t="s">
        <v>19</v>
      </c>
      <c r="D294" t="s">
        <v>20</v>
      </c>
      <c r="E294" t="s">
        <v>22</v>
      </c>
      <c r="F294">
        <v>21</v>
      </c>
      <c r="G294" t="s">
        <v>13</v>
      </c>
      <c r="H294" s="2">
        <v>46194</v>
      </c>
      <c r="I294" s="2">
        <v>46194</v>
      </c>
      <c r="J294">
        <v>0</v>
      </c>
      <c r="K294" t="s">
        <v>1344</v>
      </c>
    </row>
    <row r="295" spans="1:11" x14ac:dyDescent="0.35">
      <c r="A295" t="s">
        <v>321</v>
      </c>
      <c r="B295" s="2">
        <v>46173</v>
      </c>
      <c r="C295" t="s">
        <v>10</v>
      </c>
      <c r="D295" t="s">
        <v>11</v>
      </c>
      <c r="E295" t="s">
        <v>55</v>
      </c>
      <c r="F295">
        <v>6</v>
      </c>
      <c r="G295" t="s">
        <v>13</v>
      </c>
      <c r="H295" s="2">
        <v>46174</v>
      </c>
      <c r="I295" s="2">
        <v>46173</v>
      </c>
      <c r="J295">
        <v>-1</v>
      </c>
      <c r="K295" t="s">
        <v>1344</v>
      </c>
    </row>
    <row r="296" spans="1:11" x14ac:dyDescent="0.35">
      <c r="A296" t="s">
        <v>322</v>
      </c>
      <c r="B296" s="2">
        <v>46153</v>
      </c>
      <c r="C296" t="s">
        <v>34</v>
      </c>
      <c r="D296" t="s">
        <v>35</v>
      </c>
      <c r="E296" t="s">
        <v>46</v>
      </c>
      <c r="F296">
        <v>26</v>
      </c>
      <c r="G296" t="s">
        <v>13</v>
      </c>
      <c r="H296" s="2">
        <v>46155</v>
      </c>
      <c r="I296" s="2">
        <v>46154</v>
      </c>
      <c r="J296">
        <v>-1</v>
      </c>
      <c r="K296" t="s">
        <v>1344</v>
      </c>
    </row>
    <row r="297" spans="1:11" x14ac:dyDescent="0.35">
      <c r="A297" t="s">
        <v>323</v>
      </c>
      <c r="B297" s="2">
        <v>46145</v>
      </c>
      <c r="C297" t="s">
        <v>34</v>
      </c>
      <c r="D297" t="s">
        <v>35</v>
      </c>
      <c r="E297" t="s">
        <v>12</v>
      </c>
      <c r="F297">
        <v>30</v>
      </c>
      <c r="G297" t="s">
        <v>13</v>
      </c>
      <c r="H297" s="2">
        <v>46146</v>
      </c>
      <c r="I297" s="2">
        <v>46146</v>
      </c>
      <c r="J297">
        <v>0</v>
      </c>
      <c r="K297" t="s">
        <v>1344</v>
      </c>
    </row>
    <row r="298" spans="1:11" x14ac:dyDescent="0.35">
      <c r="A298" t="s">
        <v>324</v>
      </c>
      <c r="B298" s="2">
        <v>46180</v>
      </c>
      <c r="C298" t="s">
        <v>15</v>
      </c>
      <c r="D298" t="s">
        <v>16</v>
      </c>
      <c r="E298" t="s">
        <v>12</v>
      </c>
      <c r="F298">
        <v>28</v>
      </c>
      <c r="G298" t="s">
        <v>26</v>
      </c>
      <c r="H298" s="2">
        <v>46181</v>
      </c>
      <c r="I298" s="2"/>
      <c r="K298" t="s">
        <v>26</v>
      </c>
    </row>
    <row r="299" spans="1:11" x14ac:dyDescent="0.35">
      <c r="A299" t="s">
        <v>325</v>
      </c>
      <c r="B299" s="2">
        <v>46145</v>
      </c>
      <c r="C299" t="s">
        <v>10</v>
      </c>
      <c r="D299" t="s">
        <v>11</v>
      </c>
      <c r="E299" t="s">
        <v>55</v>
      </c>
      <c r="F299">
        <v>12</v>
      </c>
      <c r="G299" t="s">
        <v>13</v>
      </c>
      <c r="H299" s="2">
        <v>46146</v>
      </c>
      <c r="I299" s="2">
        <v>46146</v>
      </c>
      <c r="J299">
        <v>0</v>
      </c>
      <c r="K299" t="s">
        <v>1344</v>
      </c>
    </row>
    <row r="300" spans="1:11" x14ac:dyDescent="0.35">
      <c r="A300" t="s">
        <v>326</v>
      </c>
      <c r="B300" s="2">
        <v>46126</v>
      </c>
      <c r="C300" t="s">
        <v>15</v>
      </c>
      <c r="D300" t="s">
        <v>16</v>
      </c>
      <c r="E300" t="s">
        <v>12</v>
      </c>
      <c r="F300">
        <v>2</v>
      </c>
      <c r="G300" t="s">
        <v>13</v>
      </c>
      <c r="H300" s="2">
        <v>46127</v>
      </c>
      <c r="I300" s="2">
        <v>46127</v>
      </c>
      <c r="J300">
        <v>0</v>
      </c>
      <c r="K300" t="s">
        <v>1344</v>
      </c>
    </row>
    <row r="301" spans="1:11" x14ac:dyDescent="0.35">
      <c r="A301" t="s">
        <v>327</v>
      </c>
      <c r="B301" s="2">
        <v>46133</v>
      </c>
      <c r="C301" t="s">
        <v>15</v>
      </c>
      <c r="D301" t="s">
        <v>16</v>
      </c>
      <c r="E301" t="s">
        <v>17</v>
      </c>
      <c r="F301">
        <v>3</v>
      </c>
      <c r="G301" t="s">
        <v>13</v>
      </c>
      <c r="H301" s="2">
        <v>46137</v>
      </c>
      <c r="I301" s="2">
        <v>46136</v>
      </c>
      <c r="J301">
        <v>-1</v>
      </c>
      <c r="K301" t="s">
        <v>1344</v>
      </c>
    </row>
    <row r="302" spans="1:11" x14ac:dyDescent="0.35">
      <c r="A302" t="s">
        <v>328</v>
      </c>
      <c r="B302" s="2">
        <v>46160</v>
      </c>
      <c r="C302" t="s">
        <v>34</v>
      </c>
      <c r="D302" t="s">
        <v>35</v>
      </c>
      <c r="E302" t="s">
        <v>22</v>
      </c>
      <c r="F302">
        <v>3</v>
      </c>
      <c r="G302" t="s">
        <v>13</v>
      </c>
      <c r="H302" s="2">
        <v>46162</v>
      </c>
      <c r="I302" s="2">
        <v>46161</v>
      </c>
      <c r="J302">
        <v>-1</v>
      </c>
      <c r="K302" t="s">
        <v>1344</v>
      </c>
    </row>
    <row r="303" spans="1:11" x14ac:dyDescent="0.35">
      <c r="A303" t="s">
        <v>329</v>
      </c>
      <c r="B303" s="2">
        <v>46132</v>
      </c>
      <c r="C303" t="s">
        <v>19</v>
      </c>
      <c r="D303" t="s">
        <v>20</v>
      </c>
      <c r="E303" t="s">
        <v>32</v>
      </c>
      <c r="F303">
        <v>28</v>
      </c>
      <c r="G303" t="s">
        <v>13</v>
      </c>
      <c r="H303" s="2">
        <v>46134</v>
      </c>
      <c r="I303" s="2">
        <v>46134</v>
      </c>
      <c r="J303">
        <v>0</v>
      </c>
      <c r="K303" t="s">
        <v>1344</v>
      </c>
    </row>
    <row r="304" spans="1:11" x14ac:dyDescent="0.35">
      <c r="A304" t="s">
        <v>330</v>
      </c>
      <c r="B304" s="2">
        <v>46120</v>
      </c>
      <c r="C304" t="s">
        <v>10</v>
      </c>
      <c r="D304" t="s">
        <v>11</v>
      </c>
      <c r="E304" t="s">
        <v>43</v>
      </c>
      <c r="F304">
        <v>12</v>
      </c>
      <c r="G304" t="s">
        <v>13</v>
      </c>
      <c r="H304" s="2">
        <v>46121</v>
      </c>
      <c r="I304" s="2">
        <v>46120</v>
      </c>
      <c r="J304">
        <v>-1</v>
      </c>
      <c r="K304" t="s">
        <v>1344</v>
      </c>
    </row>
    <row r="305" spans="1:11" x14ac:dyDescent="0.35">
      <c r="A305" t="s">
        <v>331</v>
      </c>
      <c r="B305" s="2">
        <v>46119</v>
      </c>
      <c r="C305" t="s">
        <v>15</v>
      </c>
      <c r="D305" t="s">
        <v>16</v>
      </c>
      <c r="E305" t="s">
        <v>55</v>
      </c>
      <c r="F305">
        <v>15</v>
      </c>
      <c r="G305" t="s">
        <v>13</v>
      </c>
      <c r="H305" s="2">
        <v>46120</v>
      </c>
      <c r="I305" s="2">
        <v>46120</v>
      </c>
      <c r="J305">
        <v>0</v>
      </c>
      <c r="K305" t="s">
        <v>1344</v>
      </c>
    </row>
    <row r="306" spans="1:11" x14ac:dyDescent="0.35">
      <c r="A306" t="s">
        <v>332</v>
      </c>
      <c r="B306" s="2">
        <v>46179</v>
      </c>
      <c r="C306" t="s">
        <v>34</v>
      </c>
      <c r="D306" t="s">
        <v>35</v>
      </c>
      <c r="E306" t="s">
        <v>32</v>
      </c>
      <c r="F306">
        <v>9</v>
      </c>
      <c r="G306" t="s">
        <v>13</v>
      </c>
      <c r="H306" s="2">
        <v>46181</v>
      </c>
      <c r="I306" s="2">
        <v>46181</v>
      </c>
      <c r="J306">
        <v>0</v>
      </c>
      <c r="K306" t="s">
        <v>1344</v>
      </c>
    </row>
    <row r="307" spans="1:11" x14ac:dyDescent="0.35">
      <c r="A307" t="s">
        <v>333</v>
      </c>
      <c r="B307" s="2">
        <v>46129</v>
      </c>
      <c r="C307" t="s">
        <v>34</v>
      </c>
      <c r="D307" t="s">
        <v>35</v>
      </c>
      <c r="E307" t="s">
        <v>32</v>
      </c>
      <c r="F307">
        <v>23</v>
      </c>
      <c r="G307" t="s">
        <v>13</v>
      </c>
      <c r="H307" s="2">
        <v>46133</v>
      </c>
      <c r="I307" s="2">
        <v>46133</v>
      </c>
      <c r="J307">
        <v>0</v>
      </c>
      <c r="K307" t="s">
        <v>1344</v>
      </c>
    </row>
    <row r="308" spans="1:11" x14ac:dyDescent="0.35">
      <c r="A308" t="s">
        <v>334</v>
      </c>
      <c r="B308" s="2">
        <v>46145</v>
      </c>
      <c r="C308" t="s">
        <v>10</v>
      </c>
      <c r="D308" t="s">
        <v>11</v>
      </c>
      <c r="E308" t="s">
        <v>24</v>
      </c>
      <c r="F308">
        <v>8</v>
      </c>
      <c r="G308" t="s">
        <v>13</v>
      </c>
      <c r="H308" s="2">
        <v>46148</v>
      </c>
      <c r="I308" s="2">
        <v>46148</v>
      </c>
      <c r="J308">
        <v>0</v>
      </c>
      <c r="K308" t="s">
        <v>1344</v>
      </c>
    </row>
    <row r="309" spans="1:11" x14ac:dyDescent="0.35">
      <c r="A309" t="s">
        <v>335</v>
      </c>
      <c r="B309" s="2">
        <v>46160</v>
      </c>
      <c r="C309" t="s">
        <v>10</v>
      </c>
      <c r="D309" t="s">
        <v>11</v>
      </c>
      <c r="E309" t="s">
        <v>17</v>
      </c>
      <c r="F309">
        <v>11</v>
      </c>
      <c r="G309" t="s">
        <v>26</v>
      </c>
      <c r="H309" s="2">
        <v>46163</v>
      </c>
      <c r="I309" s="2"/>
      <c r="K309" t="s">
        <v>26</v>
      </c>
    </row>
    <row r="310" spans="1:11" x14ac:dyDescent="0.35">
      <c r="A310" t="s">
        <v>336</v>
      </c>
      <c r="B310" s="2">
        <v>46188</v>
      </c>
      <c r="C310" t="s">
        <v>34</v>
      </c>
      <c r="D310" t="s">
        <v>35</v>
      </c>
      <c r="E310" t="s">
        <v>55</v>
      </c>
      <c r="F310">
        <v>16</v>
      </c>
      <c r="G310" t="s">
        <v>13</v>
      </c>
      <c r="H310" s="2">
        <v>46190</v>
      </c>
      <c r="I310" s="2">
        <v>46189</v>
      </c>
      <c r="J310">
        <v>-1</v>
      </c>
      <c r="K310" t="s">
        <v>1344</v>
      </c>
    </row>
    <row r="311" spans="1:11" x14ac:dyDescent="0.35">
      <c r="A311" t="s">
        <v>337</v>
      </c>
      <c r="B311" s="2">
        <v>46171</v>
      </c>
      <c r="C311" t="s">
        <v>10</v>
      </c>
      <c r="D311" t="s">
        <v>11</v>
      </c>
      <c r="E311" t="s">
        <v>12</v>
      </c>
      <c r="F311">
        <v>26</v>
      </c>
      <c r="G311" t="s">
        <v>13</v>
      </c>
      <c r="H311" s="2">
        <v>46172</v>
      </c>
      <c r="I311" s="2">
        <v>46171</v>
      </c>
      <c r="J311">
        <v>-1</v>
      </c>
      <c r="K311" t="s">
        <v>1344</v>
      </c>
    </row>
    <row r="312" spans="1:11" x14ac:dyDescent="0.35">
      <c r="A312" t="s">
        <v>338</v>
      </c>
      <c r="B312" s="2">
        <v>46198</v>
      </c>
      <c r="C312" t="s">
        <v>34</v>
      </c>
      <c r="D312" t="s">
        <v>35</v>
      </c>
      <c r="E312" t="s">
        <v>43</v>
      </c>
      <c r="F312">
        <v>27</v>
      </c>
      <c r="G312" t="s">
        <v>13</v>
      </c>
      <c r="H312" s="2">
        <v>46199</v>
      </c>
      <c r="I312" s="2">
        <v>46199</v>
      </c>
      <c r="J312">
        <v>0</v>
      </c>
      <c r="K312" t="s">
        <v>1344</v>
      </c>
    </row>
    <row r="313" spans="1:11" x14ac:dyDescent="0.35">
      <c r="A313" t="s">
        <v>339</v>
      </c>
      <c r="B313" s="2">
        <v>46134</v>
      </c>
      <c r="C313" t="s">
        <v>19</v>
      </c>
      <c r="D313" t="s">
        <v>20</v>
      </c>
      <c r="E313" t="s">
        <v>55</v>
      </c>
      <c r="F313">
        <v>25</v>
      </c>
      <c r="G313" t="s">
        <v>26</v>
      </c>
      <c r="H313" s="2">
        <v>46138</v>
      </c>
      <c r="I313" s="2"/>
      <c r="K313" t="s">
        <v>26</v>
      </c>
    </row>
    <row r="314" spans="1:11" x14ac:dyDescent="0.35">
      <c r="A314" t="s">
        <v>340</v>
      </c>
      <c r="B314" s="2">
        <v>46142</v>
      </c>
      <c r="C314" t="s">
        <v>34</v>
      </c>
      <c r="D314" t="s">
        <v>35</v>
      </c>
      <c r="E314" t="s">
        <v>12</v>
      </c>
      <c r="F314">
        <v>22</v>
      </c>
      <c r="G314" t="s">
        <v>13</v>
      </c>
      <c r="H314" s="2">
        <v>46145</v>
      </c>
      <c r="I314" s="2">
        <v>46144</v>
      </c>
      <c r="J314">
        <v>-1</v>
      </c>
      <c r="K314" t="s">
        <v>1344</v>
      </c>
    </row>
    <row r="315" spans="1:11" x14ac:dyDescent="0.35">
      <c r="A315" t="s">
        <v>341</v>
      </c>
      <c r="B315" s="2">
        <v>46150</v>
      </c>
      <c r="C315" t="s">
        <v>34</v>
      </c>
      <c r="D315" t="s">
        <v>35</v>
      </c>
      <c r="E315" t="s">
        <v>32</v>
      </c>
      <c r="F315">
        <v>4</v>
      </c>
      <c r="G315" t="s">
        <v>13</v>
      </c>
      <c r="H315" s="2">
        <v>46154</v>
      </c>
      <c r="I315" s="2">
        <v>46153</v>
      </c>
      <c r="J315">
        <v>-1</v>
      </c>
      <c r="K315" t="s">
        <v>1344</v>
      </c>
    </row>
    <row r="316" spans="1:11" x14ac:dyDescent="0.35">
      <c r="A316" t="s">
        <v>342</v>
      </c>
      <c r="B316" s="2">
        <v>46163</v>
      </c>
      <c r="C316" t="s">
        <v>34</v>
      </c>
      <c r="D316" t="s">
        <v>35</v>
      </c>
      <c r="E316" t="s">
        <v>43</v>
      </c>
      <c r="F316">
        <v>28</v>
      </c>
      <c r="G316" t="s">
        <v>26</v>
      </c>
      <c r="H316" s="2">
        <v>46166</v>
      </c>
      <c r="I316" s="2"/>
      <c r="K316" t="s">
        <v>26</v>
      </c>
    </row>
    <row r="317" spans="1:11" x14ac:dyDescent="0.35">
      <c r="A317" t="s">
        <v>343</v>
      </c>
      <c r="B317" s="2">
        <v>46166</v>
      </c>
      <c r="C317" t="s">
        <v>10</v>
      </c>
      <c r="D317" t="s">
        <v>11</v>
      </c>
      <c r="E317" t="s">
        <v>12</v>
      </c>
      <c r="F317">
        <v>1</v>
      </c>
      <c r="G317" t="s">
        <v>26</v>
      </c>
      <c r="H317" s="2">
        <v>46168</v>
      </c>
      <c r="I317" s="2"/>
      <c r="K317" t="s">
        <v>26</v>
      </c>
    </row>
    <row r="318" spans="1:11" x14ac:dyDescent="0.35">
      <c r="A318" t="s">
        <v>344</v>
      </c>
      <c r="B318" s="2">
        <v>46120</v>
      </c>
      <c r="C318" t="s">
        <v>19</v>
      </c>
      <c r="D318" t="s">
        <v>20</v>
      </c>
      <c r="E318" t="s">
        <v>22</v>
      </c>
      <c r="F318">
        <v>24</v>
      </c>
      <c r="G318" t="s">
        <v>13</v>
      </c>
      <c r="H318" s="2">
        <v>46123</v>
      </c>
      <c r="I318" s="2">
        <v>46123</v>
      </c>
      <c r="J318">
        <v>0</v>
      </c>
      <c r="K318" t="s">
        <v>1344</v>
      </c>
    </row>
    <row r="319" spans="1:11" x14ac:dyDescent="0.35">
      <c r="A319" t="s">
        <v>345</v>
      </c>
      <c r="B319" s="2">
        <v>46139</v>
      </c>
      <c r="C319" t="s">
        <v>34</v>
      </c>
      <c r="D319" t="s">
        <v>35</v>
      </c>
      <c r="E319" t="s">
        <v>12</v>
      </c>
      <c r="F319">
        <v>7</v>
      </c>
      <c r="G319" t="s">
        <v>13</v>
      </c>
      <c r="H319" s="2">
        <v>46143</v>
      </c>
      <c r="I319" s="2">
        <v>46142</v>
      </c>
      <c r="J319">
        <v>-1</v>
      </c>
      <c r="K319" t="s">
        <v>1344</v>
      </c>
    </row>
    <row r="320" spans="1:11" x14ac:dyDescent="0.35">
      <c r="A320" t="s">
        <v>346</v>
      </c>
      <c r="B320" s="2">
        <v>46139</v>
      </c>
      <c r="C320" t="s">
        <v>10</v>
      </c>
      <c r="D320" t="s">
        <v>11</v>
      </c>
      <c r="E320" t="s">
        <v>24</v>
      </c>
      <c r="F320">
        <v>2</v>
      </c>
      <c r="G320" t="s">
        <v>26</v>
      </c>
      <c r="H320" s="2">
        <v>46143</v>
      </c>
      <c r="I320" s="2"/>
      <c r="K320" t="s">
        <v>26</v>
      </c>
    </row>
    <row r="321" spans="1:11" x14ac:dyDescent="0.35">
      <c r="A321" t="s">
        <v>347</v>
      </c>
      <c r="B321" s="2">
        <v>46133</v>
      </c>
      <c r="C321" t="s">
        <v>10</v>
      </c>
      <c r="D321" t="s">
        <v>11</v>
      </c>
      <c r="E321" t="s">
        <v>17</v>
      </c>
      <c r="F321">
        <v>24</v>
      </c>
      <c r="G321" t="s">
        <v>62</v>
      </c>
      <c r="H321" s="2">
        <v>46137</v>
      </c>
      <c r="I321" s="2">
        <v>46140</v>
      </c>
      <c r="J321">
        <v>3</v>
      </c>
      <c r="K321" t="s">
        <v>62</v>
      </c>
    </row>
    <row r="322" spans="1:11" x14ac:dyDescent="0.35">
      <c r="A322" t="s">
        <v>348</v>
      </c>
      <c r="B322" s="2">
        <v>46142</v>
      </c>
      <c r="C322" t="s">
        <v>34</v>
      </c>
      <c r="D322" t="s">
        <v>35</v>
      </c>
      <c r="E322" t="s">
        <v>32</v>
      </c>
      <c r="F322">
        <v>28</v>
      </c>
      <c r="G322" t="s">
        <v>26</v>
      </c>
      <c r="H322" s="2">
        <v>46144</v>
      </c>
      <c r="I322" s="2"/>
      <c r="K322" t="s">
        <v>26</v>
      </c>
    </row>
    <row r="323" spans="1:11" x14ac:dyDescent="0.35">
      <c r="A323" t="s">
        <v>349</v>
      </c>
      <c r="B323" s="2">
        <v>46140</v>
      </c>
      <c r="C323" t="s">
        <v>34</v>
      </c>
      <c r="D323" t="s">
        <v>35</v>
      </c>
      <c r="E323" t="s">
        <v>12</v>
      </c>
      <c r="F323">
        <v>5</v>
      </c>
      <c r="G323" t="s">
        <v>13</v>
      </c>
      <c r="H323" s="2">
        <v>46143</v>
      </c>
      <c r="I323" s="2">
        <v>46143</v>
      </c>
      <c r="J323">
        <v>0</v>
      </c>
      <c r="K323" t="s">
        <v>1344</v>
      </c>
    </row>
    <row r="324" spans="1:11" x14ac:dyDescent="0.35">
      <c r="A324" t="s">
        <v>350</v>
      </c>
      <c r="B324" s="2">
        <v>46176</v>
      </c>
      <c r="C324" t="s">
        <v>19</v>
      </c>
      <c r="D324" t="s">
        <v>20</v>
      </c>
      <c r="E324" t="s">
        <v>17</v>
      </c>
      <c r="F324">
        <v>7</v>
      </c>
      <c r="G324" t="s">
        <v>13</v>
      </c>
      <c r="H324" s="2">
        <v>46179</v>
      </c>
      <c r="I324" s="2">
        <v>46179</v>
      </c>
      <c r="J324">
        <v>0</v>
      </c>
      <c r="K324" t="s">
        <v>1344</v>
      </c>
    </row>
    <row r="325" spans="1:11" x14ac:dyDescent="0.35">
      <c r="A325" t="s">
        <v>351</v>
      </c>
      <c r="B325" s="2">
        <v>46181</v>
      </c>
      <c r="C325" t="s">
        <v>34</v>
      </c>
      <c r="D325" t="s">
        <v>35</v>
      </c>
      <c r="E325" t="s">
        <v>46</v>
      </c>
      <c r="F325">
        <v>4</v>
      </c>
      <c r="G325" t="s">
        <v>13</v>
      </c>
      <c r="H325" s="2">
        <v>46185</v>
      </c>
      <c r="I325" s="2">
        <v>46185</v>
      </c>
      <c r="J325">
        <v>0</v>
      </c>
      <c r="K325" t="s">
        <v>1344</v>
      </c>
    </row>
    <row r="326" spans="1:11" x14ac:dyDescent="0.35">
      <c r="A326" t="s">
        <v>352</v>
      </c>
      <c r="B326" s="2">
        <v>46173</v>
      </c>
      <c r="C326" t="s">
        <v>34</v>
      </c>
      <c r="D326" t="s">
        <v>35</v>
      </c>
      <c r="E326" t="s">
        <v>46</v>
      </c>
      <c r="F326">
        <v>5</v>
      </c>
      <c r="G326" t="s">
        <v>26</v>
      </c>
      <c r="H326" s="2">
        <v>46176</v>
      </c>
      <c r="I326" s="2"/>
      <c r="K326" t="s">
        <v>26</v>
      </c>
    </row>
    <row r="327" spans="1:11" x14ac:dyDescent="0.35">
      <c r="A327" t="s">
        <v>353</v>
      </c>
      <c r="B327" s="2">
        <v>46160</v>
      </c>
      <c r="C327" t="s">
        <v>19</v>
      </c>
      <c r="D327" t="s">
        <v>20</v>
      </c>
      <c r="E327" t="s">
        <v>17</v>
      </c>
      <c r="F327">
        <v>24</v>
      </c>
      <c r="G327" t="s">
        <v>13</v>
      </c>
      <c r="H327" s="2">
        <v>46161</v>
      </c>
      <c r="I327" s="2">
        <v>46160</v>
      </c>
      <c r="J327">
        <v>-1</v>
      </c>
      <c r="K327" t="s">
        <v>1344</v>
      </c>
    </row>
    <row r="328" spans="1:11" x14ac:dyDescent="0.35">
      <c r="A328" t="s">
        <v>354</v>
      </c>
      <c r="B328" s="2">
        <v>46131</v>
      </c>
      <c r="C328" t="s">
        <v>15</v>
      </c>
      <c r="D328" t="s">
        <v>16</v>
      </c>
      <c r="E328" t="s">
        <v>17</v>
      </c>
      <c r="F328">
        <v>1</v>
      </c>
      <c r="G328" t="s">
        <v>13</v>
      </c>
      <c r="H328" s="2">
        <v>46132</v>
      </c>
      <c r="I328" s="2">
        <v>46132</v>
      </c>
      <c r="J328">
        <v>0</v>
      </c>
      <c r="K328" t="s">
        <v>1344</v>
      </c>
    </row>
    <row r="329" spans="1:11" x14ac:dyDescent="0.35">
      <c r="A329" t="s">
        <v>355</v>
      </c>
      <c r="B329" s="2">
        <v>46116</v>
      </c>
      <c r="C329" t="s">
        <v>15</v>
      </c>
      <c r="D329" t="s">
        <v>16</v>
      </c>
      <c r="E329" t="s">
        <v>24</v>
      </c>
      <c r="F329">
        <v>1</v>
      </c>
      <c r="G329" t="s">
        <v>26</v>
      </c>
      <c r="H329" s="2">
        <v>46117</v>
      </c>
      <c r="I329" s="2"/>
      <c r="K329" t="s">
        <v>26</v>
      </c>
    </row>
    <row r="330" spans="1:11" x14ac:dyDescent="0.35">
      <c r="A330" t="s">
        <v>356</v>
      </c>
      <c r="B330" s="2">
        <v>46147</v>
      </c>
      <c r="C330" t="s">
        <v>34</v>
      </c>
      <c r="D330" t="s">
        <v>35</v>
      </c>
      <c r="E330" t="s">
        <v>22</v>
      </c>
      <c r="F330">
        <v>15</v>
      </c>
      <c r="G330" t="s">
        <v>13</v>
      </c>
      <c r="H330" s="2">
        <v>46150</v>
      </c>
      <c r="I330" s="2">
        <v>46149</v>
      </c>
      <c r="J330">
        <v>-1</v>
      </c>
      <c r="K330" t="s">
        <v>1344</v>
      </c>
    </row>
    <row r="331" spans="1:11" x14ac:dyDescent="0.35">
      <c r="A331" t="s">
        <v>357</v>
      </c>
      <c r="B331" s="2">
        <v>46176</v>
      </c>
      <c r="C331" t="s">
        <v>19</v>
      </c>
      <c r="D331" t="s">
        <v>20</v>
      </c>
      <c r="E331" t="s">
        <v>32</v>
      </c>
      <c r="F331">
        <v>20</v>
      </c>
      <c r="G331" t="s">
        <v>26</v>
      </c>
      <c r="H331" s="2">
        <v>46178</v>
      </c>
      <c r="I331" s="2"/>
      <c r="K331" t="s">
        <v>26</v>
      </c>
    </row>
    <row r="332" spans="1:11" x14ac:dyDescent="0.35">
      <c r="A332" t="s">
        <v>358</v>
      </c>
      <c r="B332" s="2">
        <v>46161</v>
      </c>
      <c r="C332" t="s">
        <v>15</v>
      </c>
      <c r="D332" t="s">
        <v>16</v>
      </c>
      <c r="E332" t="s">
        <v>55</v>
      </c>
      <c r="F332">
        <v>19</v>
      </c>
      <c r="G332" t="s">
        <v>13</v>
      </c>
      <c r="H332" s="2">
        <v>46163</v>
      </c>
      <c r="I332" s="2">
        <v>46163</v>
      </c>
      <c r="J332">
        <v>0</v>
      </c>
      <c r="K332" t="s">
        <v>1344</v>
      </c>
    </row>
    <row r="333" spans="1:11" x14ac:dyDescent="0.35">
      <c r="A333" t="s">
        <v>359</v>
      </c>
      <c r="B333" s="2">
        <v>46129</v>
      </c>
      <c r="C333" t="s">
        <v>15</v>
      </c>
      <c r="D333" t="s">
        <v>16</v>
      </c>
      <c r="E333" t="s">
        <v>24</v>
      </c>
      <c r="F333">
        <v>29</v>
      </c>
      <c r="G333" t="s">
        <v>13</v>
      </c>
      <c r="H333" s="2">
        <v>46131</v>
      </c>
      <c r="I333" s="2">
        <v>46131</v>
      </c>
      <c r="J333">
        <v>0</v>
      </c>
      <c r="K333" t="s">
        <v>1344</v>
      </c>
    </row>
    <row r="334" spans="1:11" x14ac:dyDescent="0.35">
      <c r="A334" t="s">
        <v>360</v>
      </c>
      <c r="B334" s="2">
        <v>46156</v>
      </c>
      <c r="C334" t="s">
        <v>15</v>
      </c>
      <c r="D334" t="s">
        <v>16</v>
      </c>
      <c r="E334" t="s">
        <v>22</v>
      </c>
      <c r="F334">
        <v>10</v>
      </c>
      <c r="G334" t="s">
        <v>13</v>
      </c>
      <c r="H334" s="2">
        <v>46158</v>
      </c>
      <c r="I334" s="2">
        <v>46157</v>
      </c>
      <c r="J334">
        <v>-1</v>
      </c>
      <c r="K334" t="s">
        <v>1344</v>
      </c>
    </row>
    <row r="335" spans="1:11" x14ac:dyDescent="0.35">
      <c r="A335" t="s">
        <v>361</v>
      </c>
      <c r="B335" s="2">
        <v>46142</v>
      </c>
      <c r="C335" t="s">
        <v>15</v>
      </c>
      <c r="D335" t="s">
        <v>16</v>
      </c>
      <c r="E335" t="s">
        <v>17</v>
      </c>
      <c r="F335">
        <v>28</v>
      </c>
      <c r="G335" t="s">
        <v>26</v>
      </c>
      <c r="H335" s="2">
        <v>46143</v>
      </c>
      <c r="I335" s="2"/>
      <c r="K335" t="s">
        <v>26</v>
      </c>
    </row>
    <row r="336" spans="1:11" x14ac:dyDescent="0.35">
      <c r="A336" t="s">
        <v>362</v>
      </c>
      <c r="B336" s="2">
        <v>46158</v>
      </c>
      <c r="C336" t="s">
        <v>15</v>
      </c>
      <c r="D336" t="s">
        <v>16</v>
      </c>
      <c r="E336" t="s">
        <v>55</v>
      </c>
      <c r="F336">
        <v>18</v>
      </c>
      <c r="G336" t="s">
        <v>13</v>
      </c>
      <c r="H336" s="2">
        <v>46159</v>
      </c>
      <c r="I336" s="2">
        <v>46159</v>
      </c>
      <c r="J336">
        <v>0</v>
      </c>
      <c r="K336" t="s">
        <v>1344</v>
      </c>
    </row>
    <row r="337" spans="1:11" x14ac:dyDescent="0.35">
      <c r="A337" t="s">
        <v>363</v>
      </c>
      <c r="B337" s="2">
        <v>46118</v>
      </c>
      <c r="C337" t="s">
        <v>34</v>
      </c>
      <c r="D337" t="s">
        <v>35</v>
      </c>
      <c r="E337" t="s">
        <v>17</v>
      </c>
      <c r="F337">
        <v>28</v>
      </c>
      <c r="G337" t="s">
        <v>13</v>
      </c>
      <c r="H337" s="2">
        <v>46122</v>
      </c>
      <c r="I337" s="2">
        <v>46121</v>
      </c>
      <c r="J337">
        <v>-1</v>
      </c>
      <c r="K337" t="s">
        <v>1344</v>
      </c>
    </row>
    <row r="338" spans="1:11" x14ac:dyDescent="0.35">
      <c r="A338" t="s">
        <v>364</v>
      </c>
      <c r="B338" s="2">
        <v>46149</v>
      </c>
      <c r="C338" t="s">
        <v>10</v>
      </c>
      <c r="D338" t="s">
        <v>11</v>
      </c>
      <c r="E338" t="s">
        <v>17</v>
      </c>
      <c r="F338">
        <v>3</v>
      </c>
      <c r="G338" t="s">
        <v>62</v>
      </c>
      <c r="H338" s="2">
        <v>46152</v>
      </c>
      <c r="I338" s="2">
        <v>46154</v>
      </c>
      <c r="J338">
        <v>2</v>
      </c>
      <c r="K338" t="s">
        <v>62</v>
      </c>
    </row>
    <row r="339" spans="1:11" x14ac:dyDescent="0.35">
      <c r="A339" t="s">
        <v>365</v>
      </c>
      <c r="B339" s="2">
        <v>46136</v>
      </c>
      <c r="C339" t="s">
        <v>15</v>
      </c>
      <c r="D339" t="s">
        <v>16</v>
      </c>
      <c r="E339" t="s">
        <v>46</v>
      </c>
      <c r="F339">
        <v>11</v>
      </c>
      <c r="G339" t="s">
        <v>13</v>
      </c>
      <c r="H339" s="2">
        <v>46139</v>
      </c>
      <c r="I339" s="2">
        <v>46139</v>
      </c>
      <c r="J339">
        <v>0</v>
      </c>
      <c r="K339" t="s">
        <v>1344</v>
      </c>
    </row>
    <row r="340" spans="1:11" x14ac:dyDescent="0.35">
      <c r="A340" t="s">
        <v>366</v>
      </c>
      <c r="B340" s="2">
        <v>46158</v>
      </c>
      <c r="C340" t="s">
        <v>34</v>
      </c>
      <c r="D340" t="s">
        <v>35</v>
      </c>
      <c r="E340" t="s">
        <v>46</v>
      </c>
      <c r="F340">
        <v>15</v>
      </c>
      <c r="G340" t="s">
        <v>13</v>
      </c>
      <c r="H340" s="2">
        <v>46160</v>
      </c>
      <c r="I340" s="2">
        <v>46160</v>
      </c>
      <c r="J340">
        <v>0</v>
      </c>
      <c r="K340" t="s">
        <v>1344</v>
      </c>
    </row>
    <row r="341" spans="1:11" x14ac:dyDescent="0.35">
      <c r="A341" t="s">
        <v>367</v>
      </c>
      <c r="B341" s="2">
        <v>46165</v>
      </c>
      <c r="C341" t="s">
        <v>15</v>
      </c>
      <c r="D341" t="s">
        <v>16</v>
      </c>
      <c r="E341" t="s">
        <v>55</v>
      </c>
      <c r="F341">
        <v>27</v>
      </c>
      <c r="G341" t="s">
        <v>13</v>
      </c>
      <c r="H341" s="2">
        <v>46166</v>
      </c>
      <c r="I341" s="2">
        <v>46166</v>
      </c>
      <c r="J341">
        <v>0</v>
      </c>
      <c r="K341" t="s">
        <v>1344</v>
      </c>
    </row>
    <row r="342" spans="1:11" x14ac:dyDescent="0.35">
      <c r="A342" t="s">
        <v>368</v>
      </c>
      <c r="B342" s="2">
        <v>46172</v>
      </c>
      <c r="C342" t="s">
        <v>34</v>
      </c>
      <c r="D342" t="s">
        <v>35</v>
      </c>
      <c r="E342" t="s">
        <v>24</v>
      </c>
      <c r="F342">
        <v>30</v>
      </c>
      <c r="G342" t="s">
        <v>13</v>
      </c>
      <c r="H342" s="2">
        <v>46174</v>
      </c>
      <c r="I342" s="2">
        <v>46174</v>
      </c>
      <c r="J342">
        <v>0</v>
      </c>
      <c r="K342" t="s">
        <v>1344</v>
      </c>
    </row>
    <row r="343" spans="1:11" x14ac:dyDescent="0.35">
      <c r="A343" t="s">
        <v>369</v>
      </c>
      <c r="B343" s="2">
        <v>46175</v>
      </c>
      <c r="C343" t="s">
        <v>34</v>
      </c>
      <c r="D343" t="s">
        <v>35</v>
      </c>
      <c r="E343" t="s">
        <v>46</v>
      </c>
      <c r="F343">
        <v>11</v>
      </c>
      <c r="G343" t="s">
        <v>13</v>
      </c>
      <c r="H343" s="2">
        <v>46179</v>
      </c>
      <c r="I343" s="2">
        <v>46179</v>
      </c>
      <c r="J343">
        <v>0</v>
      </c>
      <c r="K343" t="s">
        <v>1344</v>
      </c>
    </row>
    <row r="344" spans="1:11" x14ac:dyDescent="0.35">
      <c r="A344" t="s">
        <v>370</v>
      </c>
      <c r="B344" s="2">
        <v>46197</v>
      </c>
      <c r="C344" t="s">
        <v>10</v>
      </c>
      <c r="D344" t="s">
        <v>11</v>
      </c>
      <c r="E344" t="s">
        <v>32</v>
      </c>
      <c r="F344">
        <v>17</v>
      </c>
      <c r="G344" t="s">
        <v>13</v>
      </c>
      <c r="H344" s="2">
        <v>46200</v>
      </c>
      <c r="I344" s="2">
        <v>46200</v>
      </c>
      <c r="J344">
        <v>0</v>
      </c>
      <c r="K344" t="s">
        <v>1344</v>
      </c>
    </row>
    <row r="345" spans="1:11" x14ac:dyDescent="0.35">
      <c r="A345" t="s">
        <v>371</v>
      </c>
      <c r="B345" s="2">
        <v>46144</v>
      </c>
      <c r="C345" t="s">
        <v>15</v>
      </c>
      <c r="D345" t="s">
        <v>16</v>
      </c>
      <c r="E345" t="s">
        <v>17</v>
      </c>
      <c r="F345">
        <v>17</v>
      </c>
      <c r="G345" t="s">
        <v>13</v>
      </c>
      <c r="H345" s="2">
        <v>46147</v>
      </c>
      <c r="I345" s="2">
        <v>46146</v>
      </c>
      <c r="J345">
        <v>-1</v>
      </c>
      <c r="K345" t="s">
        <v>1344</v>
      </c>
    </row>
    <row r="346" spans="1:11" x14ac:dyDescent="0.35">
      <c r="A346" t="s">
        <v>372</v>
      </c>
      <c r="B346" s="2">
        <v>46199</v>
      </c>
      <c r="C346" t="s">
        <v>34</v>
      </c>
      <c r="D346" t="s">
        <v>35</v>
      </c>
      <c r="E346" t="s">
        <v>43</v>
      </c>
      <c r="F346">
        <v>6</v>
      </c>
      <c r="G346" t="s">
        <v>13</v>
      </c>
      <c r="H346" s="2">
        <v>46201</v>
      </c>
      <c r="I346" s="2">
        <v>46200</v>
      </c>
      <c r="J346">
        <v>-1</v>
      </c>
      <c r="K346" t="s">
        <v>1344</v>
      </c>
    </row>
    <row r="347" spans="1:11" x14ac:dyDescent="0.35">
      <c r="A347" t="s">
        <v>373</v>
      </c>
      <c r="B347" s="2">
        <v>46145</v>
      </c>
      <c r="C347" t="s">
        <v>15</v>
      </c>
      <c r="D347" t="s">
        <v>16</v>
      </c>
      <c r="E347" t="s">
        <v>12</v>
      </c>
      <c r="F347">
        <v>5</v>
      </c>
      <c r="G347" t="s">
        <v>13</v>
      </c>
      <c r="H347" s="2">
        <v>46149</v>
      </c>
      <c r="I347" s="2">
        <v>46149</v>
      </c>
      <c r="J347">
        <v>0</v>
      </c>
      <c r="K347" t="s">
        <v>1344</v>
      </c>
    </row>
    <row r="348" spans="1:11" x14ac:dyDescent="0.35">
      <c r="A348" t="s">
        <v>374</v>
      </c>
      <c r="B348" s="2">
        <v>46179</v>
      </c>
      <c r="C348" t="s">
        <v>19</v>
      </c>
      <c r="D348" t="s">
        <v>20</v>
      </c>
      <c r="E348" t="s">
        <v>55</v>
      </c>
      <c r="F348">
        <v>8</v>
      </c>
      <c r="G348" t="s">
        <v>13</v>
      </c>
      <c r="H348" s="2">
        <v>46182</v>
      </c>
      <c r="I348" s="2">
        <v>46181</v>
      </c>
      <c r="J348">
        <v>-1</v>
      </c>
      <c r="K348" t="s">
        <v>1344</v>
      </c>
    </row>
    <row r="349" spans="1:11" x14ac:dyDescent="0.35">
      <c r="A349" t="s">
        <v>375</v>
      </c>
      <c r="B349" s="2">
        <v>46130</v>
      </c>
      <c r="C349" t="s">
        <v>10</v>
      </c>
      <c r="D349" t="s">
        <v>11</v>
      </c>
      <c r="E349" t="s">
        <v>55</v>
      </c>
      <c r="F349">
        <v>2</v>
      </c>
      <c r="G349" t="s">
        <v>13</v>
      </c>
      <c r="H349" s="2">
        <v>46134</v>
      </c>
      <c r="I349" s="2">
        <v>46133</v>
      </c>
      <c r="J349">
        <v>-1</v>
      </c>
      <c r="K349" t="s">
        <v>1344</v>
      </c>
    </row>
    <row r="350" spans="1:11" x14ac:dyDescent="0.35">
      <c r="A350" t="s">
        <v>376</v>
      </c>
      <c r="B350" s="2">
        <v>46137</v>
      </c>
      <c r="C350" t="s">
        <v>10</v>
      </c>
      <c r="D350" t="s">
        <v>11</v>
      </c>
      <c r="E350" t="s">
        <v>46</v>
      </c>
      <c r="F350">
        <v>16</v>
      </c>
      <c r="G350" t="s">
        <v>13</v>
      </c>
      <c r="H350" s="2">
        <v>46141</v>
      </c>
      <c r="I350" s="2">
        <v>46141</v>
      </c>
      <c r="J350">
        <v>0</v>
      </c>
      <c r="K350" t="s">
        <v>1344</v>
      </c>
    </row>
    <row r="351" spans="1:11" x14ac:dyDescent="0.35">
      <c r="A351" t="s">
        <v>377</v>
      </c>
      <c r="B351" s="2">
        <v>46166</v>
      </c>
      <c r="C351" t="s">
        <v>15</v>
      </c>
      <c r="D351" t="s">
        <v>16</v>
      </c>
      <c r="E351" t="s">
        <v>24</v>
      </c>
      <c r="F351">
        <v>20</v>
      </c>
      <c r="G351" t="s">
        <v>13</v>
      </c>
      <c r="H351" s="2">
        <v>46168</v>
      </c>
      <c r="I351" s="2">
        <v>46168</v>
      </c>
      <c r="J351">
        <v>0</v>
      </c>
      <c r="K351" t="s">
        <v>1344</v>
      </c>
    </row>
    <row r="352" spans="1:11" x14ac:dyDescent="0.35">
      <c r="A352" t="s">
        <v>378</v>
      </c>
      <c r="B352" s="2">
        <v>46170</v>
      </c>
      <c r="C352" t="s">
        <v>19</v>
      </c>
      <c r="D352" t="s">
        <v>20</v>
      </c>
      <c r="E352" t="s">
        <v>17</v>
      </c>
      <c r="F352">
        <v>24</v>
      </c>
      <c r="G352" t="s">
        <v>13</v>
      </c>
      <c r="H352" s="2">
        <v>46171</v>
      </c>
      <c r="I352" s="2">
        <v>46170</v>
      </c>
      <c r="J352">
        <v>-1</v>
      </c>
      <c r="K352" t="s">
        <v>1344</v>
      </c>
    </row>
    <row r="353" spans="1:11" x14ac:dyDescent="0.35">
      <c r="A353" t="s">
        <v>379</v>
      </c>
      <c r="B353" s="2">
        <v>46179</v>
      </c>
      <c r="C353" t="s">
        <v>15</v>
      </c>
      <c r="D353" t="s">
        <v>16</v>
      </c>
      <c r="E353" t="s">
        <v>32</v>
      </c>
      <c r="F353">
        <v>12</v>
      </c>
      <c r="G353" t="s">
        <v>13</v>
      </c>
      <c r="H353" s="2">
        <v>46181</v>
      </c>
      <c r="I353" s="2">
        <v>46181</v>
      </c>
      <c r="J353">
        <v>0</v>
      </c>
      <c r="K353" t="s">
        <v>1344</v>
      </c>
    </row>
    <row r="354" spans="1:11" x14ac:dyDescent="0.35">
      <c r="A354" t="s">
        <v>380</v>
      </c>
      <c r="B354" s="2">
        <v>46158</v>
      </c>
      <c r="C354" t="s">
        <v>15</v>
      </c>
      <c r="D354" t="s">
        <v>16</v>
      </c>
      <c r="E354" t="s">
        <v>24</v>
      </c>
      <c r="F354">
        <v>6</v>
      </c>
      <c r="G354" t="s">
        <v>26</v>
      </c>
      <c r="H354" s="2">
        <v>46159</v>
      </c>
      <c r="I354" s="2"/>
      <c r="K354" t="s">
        <v>26</v>
      </c>
    </row>
    <row r="355" spans="1:11" x14ac:dyDescent="0.35">
      <c r="A355" t="s">
        <v>381</v>
      </c>
      <c r="B355" s="2">
        <v>46136</v>
      </c>
      <c r="C355" t="s">
        <v>34</v>
      </c>
      <c r="D355" t="s">
        <v>35</v>
      </c>
      <c r="E355" t="s">
        <v>22</v>
      </c>
      <c r="F355">
        <v>1</v>
      </c>
      <c r="G355" t="s">
        <v>13</v>
      </c>
      <c r="H355" s="2">
        <v>46140</v>
      </c>
      <c r="I355" s="2">
        <v>46139</v>
      </c>
      <c r="J355">
        <v>-1</v>
      </c>
      <c r="K355" t="s">
        <v>1344</v>
      </c>
    </row>
    <row r="356" spans="1:11" x14ac:dyDescent="0.35">
      <c r="A356" t="s">
        <v>382</v>
      </c>
      <c r="B356" s="2">
        <v>46144</v>
      </c>
      <c r="C356" t="s">
        <v>15</v>
      </c>
      <c r="D356" t="s">
        <v>16</v>
      </c>
      <c r="E356" t="s">
        <v>22</v>
      </c>
      <c r="F356">
        <v>4</v>
      </c>
      <c r="G356" t="s">
        <v>62</v>
      </c>
      <c r="H356" s="2">
        <v>46145</v>
      </c>
      <c r="I356" s="2">
        <v>46148</v>
      </c>
      <c r="J356">
        <v>3</v>
      </c>
      <c r="K356" t="s">
        <v>62</v>
      </c>
    </row>
    <row r="357" spans="1:11" x14ac:dyDescent="0.35">
      <c r="A357" t="s">
        <v>383</v>
      </c>
      <c r="B357" s="2">
        <v>46159</v>
      </c>
      <c r="C357" t="s">
        <v>19</v>
      </c>
      <c r="D357" t="s">
        <v>20</v>
      </c>
      <c r="E357" t="s">
        <v>43</v>
      </c>
      <c r="F357">
        <v>17</v>
      </c>
      <c r="G357" t="s">
        <v>62</v>
      </c>
      <c r="H357" s="2">
        <v>46163</v>
      </c>
      <c r="I357" s="2">
        <v>46167</v>
      </c>
      <c r="J357">
        <v>4</v>
      </c>
      <c r="K357" t="s">
        <v>62</v>
      </c>
    </row>
    <row r="358" spans="1:11" x14ac:dyDescent="0.35">
      <c r="A358" t="s">
        <v>384</v>
      </c>
      <c r="B358" s="2">
        <v>46198</v>
      </c>
      <c r="C358" t="s">
        <v>19</v>
      </c>
      <c r="D358" t="s">
        <v>20</v>
      </c>
      <c r="E358" t="s">
        <v>46</v>
      </c>
      <c r="F358">
        <v>13</v>
      </c>
      <c r="G358" t="s">
        <v>13</v>
      </c>
      <c r="H358" s="2">
        <v>46201</v>
      </c>
      <c r="I358" s="2">
        <v>46200</v>
      </c>
      <c r="J358">
        <v>-1</v>
      </c>
      <c r="K358" t="s">
        <v>1344</v>
      </c>
    </row>
    <row r="359" spans="1:11" x14ac:dyDescent="0.35">
      <c r="A359" t="s">
        <v>385</v>
      </c>
      <c r="B359" s="2">
        <v>46135</v>
      </c>
      <c r="C359" t="s">
        <v>15</v>
      </c>
      <c r="D359" t="s">
        <v>16</v>
      </c>
      <c r="E359" t="s">
        <v>46</v>
      </c>
      <c r="F359">
        <v>18</v>
      </c>
      <c r="G359" t="s">
        <v>13</v>
      </c>
      <c r="H359" s="2">
        <v>46138</v>
      </c>
      <c r="I359" s="2">
        <v>46137</v>
      </c>
      <c r="J359">
        <v>-1</v>
      </c>
      <c r="K359" t="s">
        <v>1344</v>
      </c>
    </row>
    <row r="360" spans="1:11" x14ac:dyDescent="0.35">
      <c r="A360" t="s">
        <v>386</v>
      </c>
      <c r="B360" s="2">
        <v>46178</v>
      </c>
      <c r="C360" t="s">
        <v>10</v>
      </c>
      <c r="D360" t="s">
        <v>11</v>
      </c>
      <c r="E360" t="s">
        <v>46</v>
      </c>
      <c r="F360">
        <v>5</v>
      </c>
      <c r="G360" t="s">
        <v>13</v>
      </c>
      <c r="H360" s="2">
        <v>46181</v>
      </c>
      <c r="I360" s="2">
        <v>46180</v>
      </c>
      <c r="J360">
        <v>-1</v>
      </c>
      <c r="K360" t="s">
        <v>1344</v>
      </c>
    </row>
    <row r="361" spans="1:11" x14ac:dyDescent="0.35">
      <c r="A361" t="s">
        <v>387</v>
      </c>
      <c r="B361" s="2">
        <v>46139</v>
      </c>
      <c r="C361" t="s">
        <v>19</v>
      </c>
      <c r="D361" t="s">
        <v>20</v>
      </c>
      <c r="E361" t="s">
        <v>43</v>
      </c>
      <c r="F361">
        <v>30</v>
      </c>
      <c r="G361" t="s">
        <v>26</v>
      </c>
      <c r="H361" s="2">
        <v>46141</v>
      </c>
      <c r="I361" s="2"/>
      <c r="K361" t="s">
        <v>26</v>
      </c>
    </row>
    <row r="362" spans="1:11" x14ac:dyDescent="0.35">
      <c r="A362" t="s">
        <v>388</v>
      </c>
      <c r="B362" s="2">
        <v>46114</v>
      </c>
      <c r="C362" t="s">
        <v>19</v>
      </c>
      <c r="D362" t="s">
        <v>20</v>
      </c>
      <c r="E362" t="s">
        <v>22</v>
      </c>
      <c r="F362">
        <v>24</v>
      </c>
      <c r="G362" t="s">
        <v>13</v>
      </c>
      <c r="H362" s="2">
        <v>46116</v>
      </c>
      <c r="I362" s="2">
        <v>46116</v>
      </c>
      <c r="J362">
        <v>0</v>
      </c>
      <c r="K362" t="s">
        <v>1344</v>
      </c>
    </row>
    <row r="363" spans="1:11" x14ac:dyDescent="0.35">
      <c r="A363" t="s">
        <v>389</v>
      </c>
      <c r="B363" s="2">
        <v>46202</v>
      </c>
      <c r="C363" t="s">
        <v>10</v>
      </c>
      <c r="D363" t="s">
        <v>11</v>
      </c>
      <c r="E363" t="s">
        <v>24</v>
      </c>
      <c r="F363">
        <v>24</v>
      </c>
      <c r="G363" t="s">
        <v>13</v>
      </c>
      <c r="H363" s="2">
        <v>46206</v>
      </c>
      <c r="I363" s="2">
        <v>46206</v>
      </c>
      <c r="J363">
        <v>0</v>
      </c>
      <c r="K363" t="s">
        <v>1344</v>
      </c>
    </row>
    <row r="364" spans="1:11" x14ac:dyDescent="0.35">
      <c r="A364" t="s">
        <v>390</v>
      </c>
      <c r="B364" s="2">
        <v>46129</v>
      </c>
      <c r="C364" t="s">
        <v>19</v>
      </c>
      <c r="D364" t="s">
        <v>20</v>
      </c>
      <c r="E364" t="s">
        <v>43</v>
      </c>
      <c r="F364">
        <v>27</v>
      </c>
      <c r="G364" t="s">
        <v>13</v>
      </c>
      <c r="H364" s="2">
        <v>46132</v>
      </c>
      <c r="I364" s="2">
        <v>46131</v>
      </c>
      <c r="J364">
        <v>-1</v>
      </c>
      <c r="K364" t="s">
        <v>1344</v>
      </c>
    </row>
    <row r="365" spans="1:11" x14ac:dyDescent="0.35">
      <c r="A365" t="s">
        <v>391</v>
      </c>
      <c r="B365" s="2">
        <v>46145</v>
      </c>
      <c r="C365" t="s">
        <v>19</v>
      </c>
      <c r="D365" t="s">
        <v>20</v>
      </c>
      <c r="E365" t="s">
        <v>43</v>
      </c>
      <c r="F365">
        <v>3</v>
      </c>
      <c r="G365" t="s">
        <v>26</v>
      </c>
      <c r="H365" s="2">
        <v>46147</v>
      </c>
      <c r="I365" s="2"/>
      <c r="K365" t="s">
        <v>26</v>
      </c>
    </row>
    <row r="366" spans="1:11" x14ac:dyDescent="0.35">
      <c r="A366" t="s">
        <v>392</v>
      </c>
      <c r="B366" s="2">
        <v>46121</v>
      </c>
      <c r="C366" t="s">
        <v>10</v>
      </c>
      <c r="D366" t="s">
        <v>11</v>
      </c>
      <c r="E366" t="s">
        <v>24</v>
      </c>
      <c r="F366">
        <v>11</v>
      </c>
      <c r="G366" t="s">
        <v>26</v>
      </c>
      <c r="H366" s="2">
        <v>46124</v>
      </c>
      <c r="I366" s="2"/>
      <c r="K366" t="s">
        <v>26</v>
      </c>
    </row>
    <row r="367" spans="1:11" x14ac:dyDescent="0.35">
      <c r="A367" t="s">
        <v>393</v>
      </c>
      <c r="B367" s="2">
        <v>46155</v>
      </c>
      <c r="C367" t="s">
        <v>15</v>
      </c>
      <c r="D367" t="s">
        <v>16</v>
      </c>
      <c r="E367" t="s">
        <v>46</v>
      </c>
      <c r="F367">
        <v>13</v>
      </c>
      <c r="G367" t="s">
        <v>13</v>
      </c>
      <c r="H367" s="2">
        <v>46157</v>
      </c>
      <c r="I367" s="2">
        <v>46156</v>
      </c>
      <c r="J367">
        <v>-1</v>
      </c>
      <c r="K367" t="s">
        <v>1344</v>
      </c>
    </row>
    <row r="368" spans="1:11" x14ac:dyDescent="0.35">
      <c r="A368" t="s">
        <v>394</v>
      </c>
      <c r="B368" s="2">
        <v>46160</v>
      </c>
      <c r="C368" t="s">
        <v>34</v>
      </c>
      <c r="D368" t="s">
        <v>35</v>
      </c>
      <c r="E368" t="s">
        <v>32</v>
      </c>
      <c r="F368">
        <v>4</v>
      </c>
      <c r="G368" t="s">
        <v>13</v>
      </c>
      <c r="H368" s="2">
        <v>46161</v>
      </c>
      <c r="I368" s="2">
        <v>46161</v>
      </c>
      <c r="J368">
        <v>0</v>
      </c>
      <c r="K368" t="s">
        <v>1344</v>
      </c>
    </row>
    <row r="369" spans="1:11" x14ac:dyDescent="0.35">
      <c r="A369" t="s">
        <v>395</v>
      </c>
      <c r="B369" s="2">
        <v>46151</v>
      </c>
      <c r="C369" t="s">
        <v>19</v>
      </c>
      <c r="D369" t="s">
        <v>20</v>
      </c>
      <c r="E369" t="s">
        <v>24</v>
      </c>
      <c r="F369">
        <v>26</v>
      </c>
      <c r="G369" t="s">
        <v>13</v>
      </c>
      <c r="H369" s="2">
        <v>46152</v>
      </c>
      <c r="I369" s="2">
        <v>46152</v>
      </c>
      <c r="J369">
        <v>0</v>
      </c>
      <c r="K369" t="s">
        <v>1344</v>
      </c>
    </row>
    <row r="370" spans="1:11" x14ac:dyDescent="0.35">
      <c r="A370" t="s">
        <v>396</v>
      </c>
      <c r="B370" s="2">
        <v>46154</v>
      </c>
      <c r="C370" t="s">
        <v>15</v>
      </c>
      <c r="D370" t="s">
        <v>16</v>
      </c>
      <c r="E370" t="s">
        <v>22</v>
      </c>
      <c r="F370">
        <v>27</v>
      </c>
      <c r="G370" t="s">
        <v>13</v>
      </c>
      <c r="H370" s="2">
        <v>46157</v>
      </c>
      <c r="I370" s="2">
        <v>46156</v>
      </c>
      <c r="J370">
        <v>-1</v>
      </c>
      <c r="K370" t="s">
        <v>1344</v>
      </c>
    </row>
    <row r="371" spans="1:11" x14ac:dyDescent="0.35">
      <c r="A371" t="s">
        <v>397</v>
      </c>
      <c r="B371" s="2">
        <v>46138</v>
      </c>
      <c r="C371" t="s">
        <v>19</v>
      </c>
      <c r="D371" t="s">
        <v>20</v>
      </c>
      <c r="E371" t="s">
        <v>55</v>
      </c>
      <c r="F371">
        <v>14</v>
      </c>
      <c r="G371" t="s">
        <v>26</v>
      </c>
      <c r="H371" s="2">
        <v>46142</v>
      </c>
      <c r="I371" s="2"/>
      <c r="K371" t="s">
        <v>26</v>
      </c>
    </row>
    <row r="372" spans="1:11" x14ac:dyDescent="0.35">
      <c r="A372" t="s">
        <v>398</v>
      </c>
      <c r="B372" s="2">
        <v>46162</v>
      </c>
      <c r="C372" t="s">
        <v>15</v>
      </c>
      <c r="D372" t="s">
        <v>16</v>
      </c>
      <c r="E372" t="s">
        <v>17</v>
      </c>
      <c r="F372">
        <v>22</v>
      </c>
      <c r="G372" t="s">
        <v>13</v>
      </c>
      <c r="H372" s="2">
        <v>46164</v>
      </c>
      <c r="I372" s="2">
        <v>46163</v>
      </c>
      <c r="J372">
        <v>-1</v>
      </c>
      <c r="K372" t="s">
        <v>1344</v>
      </c>
    </row>
    <row r="373" spans="1:11" x14ac:dyDescent="0.35">
      <c r="A373" t="s">
        <v>399</v>
      </c>
      <c r="B373" s="2">
        <v>46137</v>
      </c>
      <c r="C373" t="s">
        <v>15</v>
      </c>
      <c r="D373" t="s">
        <v>16</v>
      </c>
      <c r="E373" t="s">
        <v>55</v>
      </c>
      <c r="F373">
        <v>11</v>
      </c>
      <c r="G373" t="s">
        <v>13</v>
      </c>
      <c r="H373" s="2">
        <v>46139</v>
      </c>
      <c r="I373" s="2">
        <v>46138</v>
      </c>
      <c r="J373">
        <v>-1</v>
      </c>
      <c r="K373" t="s">
        <v>1344</v>
      </c>
    </row>
    <row r="374" spans="1:11" x14ac:dyDescent="0.35">
      <c r="A374" t="s">
        <v>400</v>
      </c>
      <c r="B374" s="2">
        <v>46136</v>
      </c>
      <c r="C374" t="s">
        <v>34</v>
      </c>
      <c r="D374" t="s">
        <v>35</v>
      </c>
      <c r="E374" t="s">
        <v>12</v>
      </c>
      <c r="F374">
        <v>27</v>
      </c>
      <c r="G374" t="s">
        <v>13</v>
      </c>
      <c r="H374" s="2">
        <v>46137</v>
      </c>
      <c r="I374" s="2">
        <v>46136</v>
      </c>
      <c r="J374">
        <v>-1</v>
      </c>
      <c r="K374" t="s">
        <v>1344</v>
      </c>
    </row>
    <row r="375" spans="1:11" x14ac:dyDescent="0.35">
      <c r="A375" t="s">
        <v>401</v>
      </c>
      <c r="B375" s="2">
        <v>46125</v>
      </c>
      <c r="C375" t="s">
        <v>15</v>
      </c>
      <c r="D375" t="s">
        <v>16</v>
      </c>
      <c r="E375" t="s">
        <v>12</v>
      </c>
      <c r="F375">
        <v>10</v>
      </c>
      <c r="G375" t="s">
        <v>26</v>
      </c>
      <c r="H375" s="2">
        <v>46126</v>
      </c>
      <c r="I375" s="2"/>
      <c r="K375" t="s">
        <v>26</v>
      </c>
    </row>
    <row r="376" spans="1:11" x14ac:dyDescent="0.35">
      <c r="A376" t="s">
        <v>402</v>
      </c>
      <c r="B376" s="2">
        <v>46172</v>
      </c>
      <c r="C376" t="s">
        <v>19</v>
      </c>
      <c r="D376" t="s">
        <v>20</v>
      </c>
      <c r="E376" t="s">
        <v>43</v>
      </c>
      <c r="F376">
        <v>19</v>
      </c>
      <c r="G376" t="s">
        <v>26</v>
      </c>
      <c r="H376" s="2">
        <v>46176</v>
      </c>
      <c r="I376" s="2"/>
      <c r="K376" t="s">
        <v>26</v>
      </c>
    </row>
    <row r="377" spans="1:11" x14ac:dyDescent="0.35">
      <c r="A377" t="s">
        <v>403</v>
      </c>
      <c r="B377" s="2">
        <v>46119</v>
      </c>
      <c r="C377" t="s">
        <v>19</v>
      </c>
      <c r="D377" t="s">
        <v>20</v>
      </c>
      <c r="E377" t="s">
        <v>17</v>
      </c>
      <c r="F377">
        <v>18</v>
      </c>
      <c r="G377" t="s">
        <v>13</v>
      </c>
      <c r="H377" s="2">
        <v>46123</v>
      </c>
      <c r="I377" s="2">
        <v>46122</v>
      </c>
      <c r="J377">
        <v>-1</v>
      </c>
      <c r="K377" t="s">
        <v>1344</v>
      </c>
    </row>
    <row r="378" spans="1:11" x14ac:dyDescent="0.35">
      <c r="A378" t="s">
        <v>404</v>
      </c>
      <c r="B378" s="2">
        <v>46169</v>
      </c>
      <c r="C378" t="s">
        <v>19</v>
      </c>
      <c r="D378" t="s">
        <v>20</v>
      </c>
      <c r="E378" t="s">
        <v>55</v>
      </c>
      <c r="F378">
        <v>6</v>
      </c>
      <c r="G378" t="s">
        <v>26</v>
      </c>
      <c r="H378" s="2">
        <v>46173</v>
      </c>
      <c r="I378" s="2"/>
      <c r="K378" t="s">
        <v>26</v>
      </c>
    </row>
    <row r="379" spans="1:11" x14ac:dyDescent="0.35">
      <c r="A379" t="s">
        <v>405</v>
      </c>
      <c r="B379" s="2">
        <v>46148</v>
      </c>
      <c r="C379" t="s">
        <v>10</v>
      </c>
      <c r="D379" t="s">
        <v>11</v>
      </c>
      <c r="E379" t="s">
        <v>32</v>
      </c>
      <c r="F379">
        <v>27</v>
      </c>
      <c r="G379" t="s">
        <v>13</v>
      </c>
      <c r="H379" s="2">
        <v>46151</v>
      </c>
      <c r="I379" s="2">
        <v>46151</v>
      </c>
      <c r="J379">
        <v>0</v>
      </c>
      <c r="K379" t="s">
        <v>1344</v>
      </c>
    </row>
    <row r="380" spans="1:11" x14ac:dyDescent="0.35">
      <c r="A380" t="s">
        <v>406</v>
      </c>
      <c r="B380" s="2">
        <v>46157</v>
      </c>
      <c r="C380" t="s">
        <v>15</v>
      </c>
      <c r="D380" t="s">
        <v>16</v>
      </c>
      <c r="E380" t="s">
        <v>46</v>
      </c>
      <c r="F380">
        <v>29</v>
      </c>
      <c r="G380" t="s">
        <v>13</v>
      </c>
      <c r="H380" s="2">
        <v>46158</v>
      </c>
      <c r="I380" s="2">
        <v>46157</v>
      </c>
      <c r="J380">
        <v>-1</v>
      </c>
      <c r="K380" t="s">
        <v>1344</v>
      </c>
    </row>
    <row r="381" spans="1:11" x14ac:dyDescent="0.35">
      <c r="A381" t="s">
        <v>407</v>
      </c>
      <c r="B381" s="2">
        <v>46132</v>
      </c>
      <c r="C381" t="s">
        <v>34</v>
      </c>
      <c r="D381" t="s">
        <v>35</v>
      </c>
      <c r="E381" t="s">
        <v>22</v>
      </c>
      <c r="F381">
        <v>15</v>
      </c>
      <c r="G381" t="s">
        <v>13</v>
      </c>
      <c r="H381" s="2">
        <v>46135</v>
      </c>
      <c r="I381" s="2">
        <v>46135</v>
      </c>
      <c r="J381">
        <v>0</v>
      </c>
      <c r="K381" t="s">
        <v>1344</v>
      </c>
    </row>
    <row r="382" spans="1:11" x14ac:dyDescent="0.35">
      <c r="A382" t="s">
        <v>408</v>
      </c>
      <c r="B382" s="2">
        <v>46177</v>
      </c>
      <c r="C382" t="s">
        <v>10</v>
      </c>
      <c r="D382" t="s">
        <v>11</v>
      </c>
      <c r="E382" t="s">
        <v>12</v>
      </c>
      <c r="F382">
        <v>21</v>
      </c>
      <c r="G382" t="s">
        <v>13</v>
      </c>
      <c r="H382" s="2">
        <v>46178</v>
      </c>
      <c r="I382" s="2">
        <v>46178</v>
      </c>
      <c r="J382">
        <v>0</v>
      </c>
      <c r="K382" t="s">
        <v>1344</v>
      </c>
    </row>
    <row r="383" spans="1:11" x14ac:dyDescent="0.35">
      <c r="A383" t="s">
        <v>409</v>
      </c>
      <c r="B383" s="2">
        <v>46120</v>
      </c>
      <c r="C383" t="s">
        <v>34</v>
      </c>
      <c r="D383" t="s">
        <v>35</v>
      </c>
      <c r="E383" t="s">
        <v>32</v>
      </c>
      <c r="F383">
        <v>30</v>
      </c>
      <c r="G383" t="s">
        <v>13</v>
      </c>
      <c r="H383" s="2">
        <v>46121</v>
      </c>
      <c r="I383" s="2">
        <v>46121</v>
      </c>
      <c r="J383">
        <v>0</v>
      </c>
      <c r="K383" t="s">
        <v>1344</v>
      </c>
    </row>
    <row r="384" spans="1:11" x14ac:dyDescent="0.35">
      <c r="A384" t="s">
        <v>410</v>
      </c>
      <c r="B384" s="2">
        <v>46128</v>
      </c>
      <c r="C384" t="s">
        <v>15</v>
      </c>
      <c r="D384" t="s">
        <v>16</v>
      </c>
      <c r="E384" t="s">
        <v>22</v>
      </c>
      <c r="F384">
        <v>10</v>
      </c>
      <c r="G384" t="s">
        <v>62</v>
      </c>
      <c r="H384" s="2">
        <v>46130</v>
      </c>
      <c r="I384" s="2">
        <v>46132</v>
      </c>
      <c r="J384">
        <v>2</v>
      </c>
      <c r="K384" t="s">
        <v>62</v>
      </c>
    </row>
    <row r="385" spans="1:11" x14ac:dyDescent="0.35">
      <c r="A385" t="s">
        <v>411</v>
      </c>
      <c r="B385" s="2">
        <v>46126</v>
      </c>
      <c r="C385" t="s">
        <v>34</v>
      </c>
      <c r="D385" t="s">
        <v>35</v>
      </c>
      <c r="E385" t="s">
        <v>22</v>
      </c>
      <c r="F385">
        <v>5</v>
      </c>
      <c r="G385" t="s">
        <v>13</v>
      </c>
      <c r="H385" s="2">
        <v>46127</v>
      </c>
      <c r="I385" s="2">
        <v>46127</v>
      </c>
      <c r="J385">
        <v>0</v>
      </c>
      <c r="K385" t="s">
        <v>1344</v>
      </c>
    </row>
    <row r="386" spans="1:11" x14ac:dyDescent="0.35">
      <c r="A386" t="s">
        <v>412</v>
      </c>
      <c r="B386" s="2">
        <v>46188</v>
      </c>
      <c r="C386" t="s">
        <v>34</v>
      </c>
      <c r="D386" t="s">
        <v>35</v>
      </c>
      <c r="E386" t="s">
        <v>46</v>
      </c>
      <c r="F386">
        <v>26</v>
      </c>
      <c r="G386" t="s">
        <v>13</v>
      </c>
      <c r="H386" s="2">
        <v>46189</v>
      </c>
      <c r="I386" s="2">
        <v>46189</v>
      </c>
      <c r="J386">
        <v>0</v>
      </c>
      <c r="K386" t="s">
        <v>1344</v>
      </c>
    </row>
    <row r="387" spans="1:11" x14ac:dyDescent="0.35">
      <c r="A387" t="s">
        <v>413</v>
      </c>
      <c r="B387" s="2">
        <v>46199</v>
      </c>
      <c r="C387" t="s">
        <v>19</v>
      </c>
      <c r="D387" t="s">
        <v>20</v>
      </c>
      <c r="E387" t="s">
        <v>17</v>
      </c>
      <c r="F387">
        <v>29</v>
      </c>
      <c r="G387" t="s">
        <v>13</v>
      </c>
      <c r="H387" s="2">
        <v>46202</v>
      </c>
      <c r="I387" s="2">
        <v>46202</v>
      </c>
      <c r="J387">
        <v>0</v>
      </c>
      <c r="K387" t="s">
        <v>1344</v>
      </c>
    </row>
    <row r="388" spans="1:11" x14ac:dyDescent="0.35">
      <c r="A388" t="s">
        <v>414</v>
      </c>
      <c r="B388" s="2">
        <v>46127</v>
      </c>
      <c r="C388" t="s">
        <v>19</v>
      </c>
      <c r="D388" t="s">
        <v>20</v>
      </c>
      <c r="E388" t="s">
        <v>43</v>
      </c>
      <c r="F388">
        <v>5</v>
      </c>
      <c r="G388" t="s">
        <v>13</v>
      </c>
      <c r="H388" s="2">
        <v>46128</v>
      </c>
      <c r="I388" s="2">
        <v>46128</v>
      </c>
      <c r="J388">
        <v>0</v>
      </c>
      <c r="K388" t="s">
        <v>1344</v>
      </c>
    </row>
    <row r="389" spans="1:11" x14ac:dyDescent="0.35">
      <c r="A389" t="s">
        <v>415</v>
      </c>
      <c r="B389" s="2">
        <v>46178</v>
      </c>
      <c r="C389" t="s">
        <v>34</v>
      </c>
      <c r="D389" t="s">
        <v>35</v>
      </c>
      <c r="E389" t="s">
        <v>55</v>
      </c>
      <c r="F389">
        <v>10</v>
      </c>
      <c r="G389" t="s">
        <v>62</v>
      </c>
      <c r="H389" s="2">
        <v>46181</v>
      </c>
      <c r="I389" s="2">
        <v>46183</v>
      </c>
      <c r="J389">
        <v>2</v>
      </c>
      <c r="K389" t="s">
        <v>62</v>
      </c>
    </row>
    <row r="390" spans="1:11" x14ac:dyDescent="0.35">
      <c r="A390" t="s">
        <v>416</v>
      </c>
      <c r="B390" s="2">
        <v>46144</v>
      </c>
      <c r="C390" t="s">
        <v>10</v>
      </c>
      <c r="D390" t="s">
        <v>11</v>
      </c>
      <c r="E390" t="s">
        <v>46</v>
      </c>
      <c r="F390">
        <v>28</v>
      </c>
      <c r="G390" t="s">
        <v>13</v>
      </c>
      <c r="H390" s="2">
        <v>46148</v>
      </c>
      <c r="I390" s="2">
        <v>46147</v>
      </c>
      <c r="J390">
        <v>-1</v>
      </c>
      <c r="K390" t="s">
        <v>1344</v>
      </c>
    </row>
    <row r="391" spans="1:11" x14ac:dyDescent="0.35">
      <c r="A391" t="s">
        <v>417</v>
      </c>
      <c r="B391" s="2">
        <v>46199</v>
      </c>
      <c r="C391" t="s">
        <v>10</v>
      </c>
      <c r="D391" t="s">
        <v>11</v>
      </c>
      <c r="E391" t="s">
        <v>32</v>
      </c>
      <c r="F391">
        <v>5</v>
      </c>
      <c r="G391" t="s">
        <v>13</v>
      </c>
      <c r="H391" s="2">
        <v>46200</v>
      </c>
      <c r="I391" s="2">
        <v>46200</v>
      </c>
      <c r="J391">
        <v>0</v>
      </c>
      <c r="K391" t="s">
        <v>1344</v>
      </c>
    </row>
    <row r="392" spans="1:11" x14ac:dyDescent="0.35">
      <c r="A392" t="s">
        <v>418</v>
      </c>
      <c r="B392" s="2">
        <v>46175</v>
      </c>
      <c r="C392" t="s">
        <v>15</v>
      </c>
      <c r="D392" t="s">
        <v>16</v>
      </c>
      <c r="E392" t="s">
        <v>43</v>
      </c>
      <c r="F392">
        <v>3</v>
      </c>
      <c r="G392" t="s">
        <v>26</v>
      </c>
      <c r="H392" s="2">
        <v>46176</v>
      </c>
      <c r="I392" s="2"/>
      <c r="K392" t="s">
        <v>26</v>
      </c>
    </row>
    <row r="393" spans="1:11" x14ac:dyDescent="0.35">
      <c r="A393" t="s">
        <v>419</v>
      </c>
      <c r="B393" s="2">
        <v>46198</v>
      </c>
      <c r="C393" t="s">
        <v>19</v>
      </c>
      <c r="D393" t="s">
        <v>20</v>
      </c>
      <c r="E393" t="s">
        <v>32</v>
      </c>
      <c r="F393">
        <v>23</v>
      </c>
      <c r="G393" t="s">
        <v>13</v>
      </c>
      <c r="H393" s="2">
        <v>46201</v>
      </c>
      <c r="I393" s="2">
        <v>46201</v>
      </c>
      <c r="J393">
        <v>0</v>
      </c>
      <c r="K393" t="s">
        <v>1344</v>
      </c>
    </row>
    <row r="394" spans="1:11" x14ac:dyDescent="0.35">
      <c r="A394" t="s">
        <v>420</v>
      </c>
      <c r="B394" s="2">
        <v>46163</v>
      </c>
      <c r="C394" t="s">
        <v>19</v>
      </c>
      <c r="D394" t="s">
        <v>20</v>
      </c>
      <c r="E394" t="s">
        <v>43</v>
      </c>
      <c r="F394">
        <v>6</v>
      </c>
      <c r="G394" t="s">
        <v>13</v>
      </c>
      <c r="H394" s="2">
        <v>46167</v>
      </c>
      <c r="I394" s="2">
        <v>46166</v>
      </c>
      <c r="J394">
        <v>-1</v>
      </c>
      <c r="K394" t="s">
        <v>1344</v>
      </c>
    </row>
    <row r="395" spans="1:11" x14ac:dyDescent="0.35">
      <c r="A395" t="s">
        <v>421</v>
      </c>
      <c r="B395" s="2">
        <v>46137</v>
      </c>
      <c r="C395" t="s">
        <v>34</v>
      </c>
      <c r="D395" t="s">
        <v>35</v>
      </c>
      <c r="E395" t="s">
        <v>17</v>
      </c>
      <c r="F395">
        <v>4</v>
      </c>
      <c r="G395" t="s">
        <v>13</v>
      </c>
      <c r="H395" s="2">
        <v>46139</v>
      </c>
      <c r="I395" s="2">
        <v>46138</v>
      </c>
      <c r="J395">
        <v>-1</v>
      </c>
      <c r="K395" t="s">
        <v>1344</v>
      </c>
    </row>
    <row r="396" spans="1:11" x14ac:dyDescent="0.35">
      <c r="A396" t="s">
        <v>422</v>
      </c>
      <c r="B396" s="2">
        <v>46170</v>
      </c>
      <c r="C396" t="s">
        <v>34</v>
      </c>
      <c r="D396" t="s">
        <v>35</v>
      </c>
      <c r="E396" t="s">
        <v>12</v>
      </c>
      <c r="F396">
        <v>18</v>
      </c>
      <c r="G396" t="s">
        <v>13</v>
      </c>
      <c r="H396" s="2">
        <v>46174</v>
      </c>
      <c r="I396" s="2">
        <v>46173</v>
      </c>
      <c r="J396">
        <v>-1</v>
      </c>
      <c r="K396" t="s">
        <v>1344</v>
      </c>
    </row>
    <row r="397" spans="1:11" x14ac:dyDescent="0.35">
      <c r="A397" t="s">
        <v>423</v>
      </c>
      <c r="B397" s="2">
        <v>46175</v>
      </c>
      <c r="C397" t="s">
        <v>15</v>
      </c>
      <c r="D397" t="s">
        <v>16</v>
      </c>
      <c r="E397" t="s">
        <v>32</v>
      </c>
      <c r="F397">
        <v>28</v>
      </c>
      <c r="G397" t="s">
        <v>62</v>
      </c>
      <c r="H397" s="2">
        <v>46178</v>
      </c>
      <c r="I397" s="2">
        <v>46181</v>
      </c>
      <c r="J397">
        <v>3</v>
      </c>
      <c r="K397" t="s">
        <v>62</v>
      </c>
    </row>
    <row r="398" spans="1:11" x14ac:dyDescent="0.35">
      <c r="A398" t="s">
        <v>424</v>
      </c>
      <c r="B398" s="2">
        <v>46174</v>
      </c>
      <c r="C398" t="s">
        <v>34</v>
      </c>
      <c r="D398" t="s">
        <v>35</v>
      </c>
      <c r="E398" t="s">
        <v>46</v>
      </c>
      <c r="F398">
        <v>9</v>
      </c>
      <c r="G398" t="s">
        <v>26</v>
      </c>
      <c r="H398" s="2">
        <v>46178</v>
      </c>
      <c r="I398" s="2"/>
      <c r="K398" t="s">
        <v>26</v>
      </c>
    </row>
    <row r="399" spans="1:11" x14ac:dyDescent="0.35">
      <c r="A399" t="s">
        <v>425</v>
      </c>
      <c r="B399" s="2">
        <v>46134</v>
      </c>
      <c r="C399" t="s">
        <v>15</v>
      </c>
      <c r="D399" t="s">
        <v>16</v>
      </c>
      <c r="E399" t="s">
        <v>43</v>
      </c>
      <c r="F399">
        <v>17</v>
      </c>
      <c r="G399" t="s">
        <v>13</v>
      </c>
      <c r="H399" s="2">
        <v>46137</v>
      </c>
      <c r="I399" s="2">
        <v>46136</v>
      </c>
      <c r="J399">
        <v>-1</v>
      </c>
      <c r="K399" t="s">
        <v>1344</v>
      </c>
    </row>
    <row r="400" spans="1:11" x14ac:dyDescent="0.35">
      <c r="A400" t="s">
        <v>426</v>
      </c>
      <c r="B400" s="2">
        <v>46170</v>
      </c>
      <c r="C400" t="s">
        <v>19</v>
      </c>
      <c r="D400" t="s">
        <v>20</v>
      </c>
      <c r="E400" t="s">
        <v>43</v>
      </c>
      <c r="F400">
        <v>29</v>
      </c>
      <c r="G400" t="s">
        <v>26</v>
      </c>
      <c r="H400" s="2">
        <v>46173</v>
      </c>
      <c r="I400" s="2"/>
      <c r="K400" t="s">
        <v>26</v>
      </c>
    </row>
    <row r="401" spans="1:11" x14ac:dyDescent="0.35">
      <c r="A401" t="s">
        <v>427</v>
      </c>
      <c r="B401" s="2">
        <v>46170</v>
      </c>
      <c r="C401" t="s">
        <v>15</v>
      </c>
      <c r="D401" t="s">
        <v>16</v>
      </c>
      <c r="E401" t="s">
        <v>22</v>
      </c>
      <c r="F401">
        <v>13</v>
      </c>
      <c r="G401" t="s">
        <v>13</v>
      </c>
      <c r="H401" s="2">
        <v>46172</v>
      </c>
      <c r="I401" s="2">
        <v>46172</v>
      </c>
      <c r="J401">
        <v>0</v>
      </c>
      <c r="K401" t="s">
        <v>1344</v>
      </c>
    </row>
    <row r="402" spans="1:11" x14ac:dyDescent="0.35">
      <c r="A402" t="s">
        <v>428</v>
      </c>
      <c r="B402" s="2">
        <v>46198</v>
      </c>
      <c r="C402" t="s">
        <v>34</v>
      </c>
      <c r="D402" t="s">
        <v>35</v>
      </c>
      <c r="E402" t="s">
        <v>22</v>
      </c>
      <c r="F402">
        <v>27</v>
      </c>
      <c r="G402" t="s">
        <v>13</v>
      </c>
      <c r="H402" s="2">
        <v>46199</v>
      </c>
      <c r="I402" s="2">
        <v>46199</v>
      </c>
      <c r="J402">
        <v>0</v>
      </c>
      <c r="K402" t="s">
        <v>1344</v>
      </c>
    </row>
    <row r="403" spans="1:11" x14ac:dyDescent="0.35">
      <c r="A403" t="s">
        <v>429</v>
      </c>
      <c r="B403" s="2">
        <v>46161</v>
      </c>
      <c r="C403" t="s">
        <v>19</v>
      </c>
      <c r="D403" t="s">
        <v>20</v>
      </c>
      <c r="E403" t="s">
        <v>24</v>
      </c>
      <c r="F403">
        <v>15</v>
      </c>
      <c r="G403" t="s">
        <v>13</v>
      </c>
      <c r="H403" s="2">
        <v>46164</v>
      </c>
      <c r="I403" s="2">
        <v>46163</v>
      </c>
      <c r="J403">
        <v>-1</v>
      </c>
      <c r="K403" t="s">
        <v>1344</v>
      </c>
    </row>
    <row r="404" spans="1:11" x14ac:dyDescent="0.35">
      <c r="A404" t="s">
        <v>430</v>
      </c>
      <c r="B404" s="2">
        <v>46164</v>
      </c>
      <c r="C404" t="s">
        <v>10</v>
      </c>
      <c r="D404" t="s">
        <v>11</v>
      </c>
      <c r="E404" t="s">
        <v>32</v>
      </c>
      <c r="F404">
        <v>30</v>
      </c>
      <c r="G404" t="s">
        <v>13</v>
      </c>
      <c r="H404" s="2">
        <v>46167</v>
      </c>
      <c r="I404" s="2">
        <v>46167</v>
      </c>
      <c r="J404">
        <v>0</v>
      </c>
      <c r="K404" t="s">
        <v>1344</v>
      </c>
    </row>
    <row r="405" spans="1:11" x14ac:dyDescent="0.35">
      <c r="A405" t="s">
        <v>431</v>
      </c>
      <c r="B405" s="2">
        <v>46154</v>
      </c>
      <c r="C405" t="s">
        <v>15</v>
      </c>
      <c r="D405" t="s">
        <v>16</v>
      </c>
      <c r="E405" t="s">
        <v>22</v>
      </c>
      <c r="F405">
        <v>20</v>
      </c>
      <c r="G405" t="s">
        <v>13</v>
      </c>
      <c r="H405" s="2">
        <v>46156</v>
      </c>
      <c r="I405" s="2">
        <v>46155</v>
      </c>
      <c r="J405">
        <v>-1</v>
      </c>
      <c r="K405" t="s">
        <v>1344</v>
      </c>
    </row>
    <row r="406" spans="1:11" x14ac:dyDescent="0.35">
      <c r="A406" t="s">
        <v>432</v>
      </c>
      <c r="B406" s="2">
        <v>46182</v>
      </c>
      <c r="C406" t="s">
        <v>15</v>
      </c>
      <c r="D406" t="s">
        <v>16</v>
      </c>
      <c r="E406" t="s">
        <v>24</v>
      </c>
      <c r="F406">
        <v>17</v>
      </c>
      <c r="G406" t="s">
        <v>13</v>
      </c>
      <c r="H406" s="2">
        <v>46185</v>
      </c>
      <c r="I406" s="2">
        <v>46185</v>
      </c>
      <c r="J406">
        <v>0</v>
      </c>
      <c r="K406" t="s">
        <v>1344</v>
      </c>
    </row>
    <row r="407" spans="1:11" x14ac:dyDescent="0.35">
      <c r="A407" t="s">
        <v>433</v>
      </c>
      <c r="B407" s="2">
        <v>46127</v>
      </c>
      <c r="C407" t="s">
        <v>15</v>
      </c>
      <c r="D407" t="s">
        <v>16</v>
      </c>
      <c r="E407" t="s">
        <v>12</v>
      </c>
      <c r="F407">
        <v>13</v>
      </c>
      <c r="G407" t="s">
        <v>62</v>
      </c>
      <c r="H407" s="2">
        <v>46128</v>
      </c>
      <c r="I407" s="2">
        <v>46132</v>
      </c>
      <c r="J407">
        <v>4</v>
      </c>
      <c r="K407" t="s">
        <v>62</v>
      </c>
    </row>
    <row r="408" spans="1:11" x14ac:dyDescent="0.35">
      <c r="A408" t="s">
        <v>434</v>
      </c>
      <c r="B408" s="2">
        <v>46166</v>
      </c>
      <c r="C408" t="s">
        <v>10</v>
      </c>
      <c r="D408" t="s">
        <v>11</v>
      </c>
      <c r="E408" t="s">
        <v>12</v>
      </c>
      <c r="F408">
        <v>16</v>
      </c>
      <c r="G408" t="s">
        <v>13</v>
      </c>
      <c r="H408" s="2">
        <v>46168</v>
      </c>
      <c r="I408" s="2">
        <v>46168</v>
      </c>
      <c r="J408">
        <v>0</v>
      </c>
      <c r="K408" t="s">
        <v>1344</v>
      </c>
    </row>
    <row r="409" spans="1:11" x14ac:dyDescent="0.35">
      <c r="A409" t="s">
        <v>435</v>
      </c>
      <c r="B409" s="2">
        <v>46172</v>
      </c>
      <c r="C409" t="s">
        <v>15</v>
      </c>
      <c r="D409" t="s">
        <v>16</v>
      </c>
      <c r="E409" t="s">
        <v>22</v>
      </c>
      <c r="F409">
        <v>22</v>
      </c>
      <c r="G409" t="s">
        <v>13</v>
      </c>
      <c r="H409" s="2">
        <v>46173</v>
      </c>
      <c r="I409" s="2">
        <v>46173</v>
      </c>
      <c r="J409">
        <v>0</v>
      </c>
      <c r="K409" t="s">
        <v>1344</v>
      </c>
    </row>
    <row r="410" spans="1:11" x14ac:dyDescent="0.35">
      <c r="A410" t="s">
        <v>436</v>
      </c>
      <c r="B410" s="2">
        <v>46120</v>
      </c>
      <c r="C410" t="s">
        <v>34</v>
      </c>
      <c r="D410" t="s">
        <v>35</v>
      </c>
      <c r="E410" t="s">
        <v>32</v>
      </c>
      <c r="F410">
        <v>4</v>
      </c>
      <c r="G410" t="s">
        <v>13</v>
      </c>
      <c r="H410" s="2">
        <v>46121</v>
      </c>
      <c r="I410" s="2">
        <v>46120</v>
      </c>
      <c r="J410">
        <v>-1</v>
      </c>
      <c r="K410" t="s">
        <v>1344</v>
      </c>
    </row>
    <row r="411" spans="1:11" x14ac:dyDescent="0.35">
      <c r="A411" t="s">
        <v>437</v>
      </c>
      <c r="B411" s="2">
        <v>46165</v>
      </c>
      <c r="C411" t="s">
        <v>19</v>
      </c>
      <c r="D411" t="s">
        <v>20</v>
      </c>
      <c r="E411" t="s">
        <v>43</v>
      </c>
      <c r="F411">
        <v>5</v>
      </c>
      <c r="G411" t="s">
        <v>13</v>
      </c>
      <c r="H411" s="2">
        <v>46167</v>
      </c>
      <c r="I411" s="2">
        <v>46166</v>
      </c>
      <c r="J411">
        <v>-1</v>
      </c>
      <c r="K411" t="s">
        <v>1344</v>
      </c>
    </row>
    <row r="412" spans="1:11" x14ac:dyDescent="0.35">
      <c r="A412" t="s">
        <v>438</v>
      </c>
      <c r="B412" s="2">
        <v>46172</v>
      </c>
      <c r="C412" t="s">
        <v>15</v>
      </c>
      <c r="D412" t="s">
        <v>16</v>
      </c>
      <c r="E412" t="s">
        <v>55</v>
      </c>
      <c r="F412">
        <v>5</v>
      </c>
      <c r="G412" t="s">
        <v>13</v>
      </c>
      <c r="H412" s="2">
        <v>46175</v>
      </c>
      <c r="I412" s="2">
        <v>46174</v>
      </c>
      <c r="J412">
        <v>-1</v>
      </c>
      <c r="K412" t="s">
        <v>1344</v>
      </c>
    </row>
    <row r="413" spans="1:11" x14ac:dyDescent="0.35">
      <c r="A413" t="s">
        <v>439</v>
      </c>
      <c r="B413" s="2">
        <v>46117</v>
      </c>
      <c r="C413" t="s">
        <v>19</v>
      </c>
      <c r="D413" t="s">
        <v>20</v>
      </c>
      <c r="E413" t="s">
        <v>17</v>
      </c>
      <c r="F413">
        <v>9</v>
      </c>
      <c r="G413" t="s">
        <v>13</v>
      </c>
      <c r="H413" s="2">
        <v>46118</v>
      </c>
      <c r="I413" s="2">
        <v>46117</v>
      </c>
      <c r="J413">
        <v>-1</v>
      </c>
      <c r="K413" t="s">
        <v>1344</v>
      </c>
    </row>
    <row r="414" spans="1:11" x14ac:dyDescent="0.35">
      <c r="A414" t="s">
        <v>440</v>
      </c>
      <c r="B414" s="2">
        <v>46180</v>
      </c>
      <c r="C414" t="s">
        <v>19</v>
      </c>
      <c r="D414" t="s">
        <v>20</v>
      </c>
      <c r="E414" t="s">
        <v>32</v>
      </c>
      <c r="F414">
        <v>17</v>
      </c>
      <c r="G414" t="s">
        <v>26</v>
      </c>
      <c r="H414" s="2">
        <v>46181</v>
      </c>
      <c r="I414" s="2"/>
      <c r="K414" t="s">
        <v>26</v>
      </c>
    </row>
    <row r="415" spans="1:11" x14ac:dyDescent="0.35">
      <c r="A415" t="s">
        <v>441</v>
      </c>
      <c r="B415" s="2">
        <v>46118</v>
      </c>
      <c r="C415" t="s">
        <v>15</v>
      </c>
      <c r="D415" t="s">
        <v>16</v>
      </c>
      <c r="E415" t="s">
        <v>17</v>
      </c>
      <c r="F415">
        <v>13</v>
      </c>
      <c r="G415" t="s">
        <v>13</v>
      </c>
      <c r="H415" s="2">
        <v>46119</v>
      </c>
      <c r="I415" s="2">
        <v>46119</v>
      </c>
      <c r="J415">
        <v>0</v>
      </c>
      <c r="K415" t="s">
        <v>1344</v>
      </c>
    </row>
    <row r="416" spans="1:11" x14ac:dyDescent="0.35">
      <c r="A416" t="s">
        <v>442</v>
      </c>
      <c r="B416" s="2">
        <v>46159</v>
      </c>
      <c r="C416" t="s">
        <v>19</v>
      </c>
      <c r="D416" t="s">
        <v>20</v>
      </c>
      <c r="E416" t="s">
        <v>46</v>
      </c>
      <c r="F416">
        <v>2</v>
      </c>
      <c r="G416" t="s">
        <v>13</v>
      </c>
      <c r="H416" s="2">
        <v>46160</v>
      </c>
      <c r="I416" s="2">
        <v>46159</v>
      </c>
      <c r="J416">
        <v>-1</v>
      </c>
      <c r="K416" t="s">
        <v>1344</v>
      </c>
    </row>
    <row r="417" spans="1:11" x14ac:dyDescent="0.35">
      <c r="A417" t="s">
        <v>443</v>
      </c>
      <c r="B417" s="2">
        <v>46167</v>
      </c>
      <c r="C417" t="s">
        <v>34</v>
      </c>
      <c r="D417" t="s">
        <v>35</v>
      </c>
      <c r="E417" t="s">
        <v>12</v>
      </c>
      <c r="F417">
        <v>13</v>
      </c>
      <c r="G417" t="s">
        <v>13</v>
      </c>
      <c r="H417" s="2">
        <v>46169</v>
      </c>
      <c r="I417" s="2">
        <v>46168</v>
      </c>
      <c r="J417">
        <v>-1</v>
      </c>
      <c r="K417" t="s">
        <v>1344</v>
      </c>
    </row>
    <row r="418" spans="1:11" x14ac:dyDescent="0.35">
      <c r="A418" t="s">
        <v>444</v>
      </c>
      <c r="B418" s="2">
        <v>46152</v>
      </c>
      <c r="C418" t="s">
        <v>19</v>
      </c>
      <c r="D418" t="s">
        <v>20</v>
      </c>
      <c r="E418" t="s">
        <v>22</v>
      </c>
      <c r="F418">
        <v>22</v>
      </c>
      <c r="G418" t="s">
        <v>13</v>
      </c>
      <c r="H418" s="2">
        <v>46154</v>
      </c>
      <c r="I418" s="2">
        <v>46154</v>
      </c>
      <c r="J418">
        <v>0</v>
      </c>
      <c r="K418" t="s">
        <v>1344</v>
      </c>
    </row>
    <row r="419" spans="1:11" x14ac:dyDescent="0.35">
      <c r="A419" t="s">
        <v>445</v>
      </c>
      <c r="B419" s="2">
        <v>46164</v>
      </c>
      <c r="C419" t="s">
        <v>10</v>
      </c>
      <c r="D419" t="s">
        <v>11</v>
      </c>
      <c r="E419" t="s">
        <v>22</v>
      </c>
      <c r="F419">
        <v>21</v>
      </c>
      <c r="G419" t="s">
        <v>13</v>
      </c>
      <c r="H419" s="2">
        <v>46168</v>
      </c>
      <c r="I419" s="2">
        <v>46167</v>
      </c>
      <c r="J419">
        <v>-1</v>
      </c>
      <c r="K419" t="s">
        <v>1344</v>
      </c>
    </row>
    <row r="420" spans="1:11" x14ac:dyDescent="0.35">
      <c r="A420" t="s">
        <v>446</v>
      </c>
      <c r="B420" s="2">
        <v>46128</v>
      </c>
      <c r="C420" t="s">
        <v>10</v>
      </c>
      <c r="D420" t="s">
        <v>11</v>
      </c>
      <c r="E420" t="s">
        <v>17</v>
      </c>
      <c r="F420">
        <v>27</v>
      </c>
      <c r="G420" t="s">
        <v>26</v>
      </c>
      <c r="H420" s="2">
        <v>46132</v>
      </c>
      <c r="I420" s="2"/>
      <c r="K420" t="s">
        <v>26</v>
      </c>
    </row>
    <row r="421" spans="1:11" x14ac:dyDescent="0.35">
      <c r="A421" t="s">
        <v>447</v>
      </c>
      <c r="B421" s="2">
        <v>46125</v>
      </c>
      <c r="C421" t="s">
        <v>10</v>
      </c>
      <c r="D421" t="s">
        <v>11</v>
      </c>
      <c r="E421" t="s">
        <v>43</v>
      </c>
      <c r="F421">
        <v>23</v>
      </c>
      <c r="G421" t="s">
        <v>13</v>
      </c>
      <c r="H421" s="2">
        <v>46126</v>
      </c>
      <c r="I421" s="2">
        <v>46125</v>
      </c>
      <c r="J421">
        <v>-1</v>
      </c>
      <c r="K421" t="s">
        <v>1344</v>
      </c>
    </row>
    <row r="422" spans="1:11" x14ac:dyDescent="0.35">
      <c r="A422" t="s">
        <v>448</v>
      </c>
      <c r="B422" s="2">
        <v>46142</v>
      </c>
      <c r="C422" t="s">
        <v>19</v>
      </c>
      <c r="D422" t="s">
        <v>20</v>
      </c>
      <c r="E422" t="s">
        <v>17</v>
      </c>
      <c r="F422">
        <v>19</v>
      </c>
      <c r="G422" t="s">
        <v>13</v>
      </c>
      <c r="H422" s="2">
        <v>46145</v>
      </c>
      <c r="I422" s="2">
        <v>46145</v>
      </c>
      <c r="J422">
        <v>0</v>
      </c>
      <c r="K422" t="s">
        <v>1344</v>
      </c>
    </row>
    <row r="423" spans="1:11" x14ac:dyDescent="0.35">
      <c r="A423" t="s">
        <v>449</v>
      </c>
      <c r="B423" s="2">
        <v>46131</v>
      </c>
      <c r="C423" t="s">
        <v>10</v>
      </c>
      <c r="D423" t="s">
        <v>11</v>
      </c>
      <c r="E423" t="s">
        <v>46</v>
      </c>
      <c r="F423">
        <v>3</v>
      </c>
      <c r="G423" t="s">
        <v>13</v>
      </c>
      <c r="H423" s="2">
        <v>46132</v>
      </c>
      <c r="I423" s="2">
        <v>46131</v>
      </c>
      <c r="J423">
        <v>-1</v>
      </c>
      <c r="K423" t="s">
        <v>1344</v>
      </c>
    </row>
    <row r="424" spans="1:11" x14ac:dyDescent="0.35">
      <c r="A424" t="s">
        <v>450</v>
      </c>
      <c r="B424" s="2">
        <v>46129</v>
      </c>
      <c r="C424" t="s">
        <v>34</v>
      </c>
      <c r="D424" t="s">
        <v>35</v>
      </c>
      <c r="E424" t="s">
        <v>43</v>
      </c>
      <c r="F424">
        <v>10</v>
      </c>
      <c r="G424" t="s">
        <v>13</v>
      </c>
      <c r="H424" s="2">
        <v>46132</v>
      </c>
      <c r="I424" s="2">
        <v>46131</v>
      </c>
      <c r="J424">
        <v>-1</v>
      </c>
      <c r="K424" t="s">
        <v>1344</v>
      </c>
    </row>
    <row r="425" spans="1:11" x14ac:dyDescent="0.35">
      <c r="A425" t="s">
        <v>451</v>
      </c>
      <c r="B425" s="2">
        <v>46175</v>
      </c>
      <c r="C425" t="s">
        <v>19</v>
      </c>
      <c r="D425" t="s">
        <v>20</v>
      </c>
      <c r="E425" t="s">
        <v>46</v>
      </c>
      <c r="F425">
        <v>2</v>
      </c>
      <c r="G425" t="s">
        <v>13</v>
      </c>
      <c r="H425" s="2">
        <v>46176</v>
      </c>
      <c r="I425" s="2">
        <v>46175</v>
      </c>
      <c r="J425">
        <v>-1</v>
      </c>
      <c r="K425" t="s">
        <v>1344</v>
      </c>
    </row>
    <row r="426" spans="1:11" x14ac:dyDescent="0.35">
      <c r="A426" t="s">
        <v>452</v>
      </c>
      <c r="B426" s="2">
        <v>46131</v>
      </c>
      <c r="C426" t="s">
        <v>15</v>
      </c>
      <c r="D426" t="s">
        <v>16</v>
      </c>
      <c r="E426" t="s">
        <v>55</v>
      </c>
      <c r="F426">
        <v>13</v>
      </c>
      <c r="G426" t="s">
        <v>26</v>
      </c>
      <c r="H426" s="2">
        <v>46135</v>
      </c>
      <c r="I426" s="2"/>
      <c r="K426" t="s">
        <v>26</v>
      </c>
    </row>
    <row r="427" spans="1:11" x14ac:dyDescent="0.35">
      <c r="A427" t="s">
        <v>453</v>
      </c>
      <c r="B427" s="2">
        <v>46170</v>
      </c>
      <c r="C427" t="s">
        <v>15</v>
      </c>
      <c r="D427" t="s">
        <v>16</v>
      </c>
      <c r="E427" t="s">
        <v>12</v>
      </c>
      <c r="F427">
        <v>19</v>
      </c>
      <c r="G427" t="s">
        <v>13</v>
      </c>
      <c r="H427" s="2">
        <v>46174</v>
      </c>
      <c r="I427" s="2">
        <v>46173</v>
      </c>
      <c r="J427">
        <v>-1</v>
      </c>
      <c r="K427" t="s">
        <v>1344</v>
      </c>
    </row>
    <row r="428" spans="1:11" x14ac:dyDescent="0.35">
      <c r="A428" t="s">
        <v>454</v>
      </c>
      <c r="B428" s="2">
        <v>46167</v>
      </c>
      <c r="C428" t="s">
        <v>15</v>
      </c>
      <c r="D428" t="s">
        <v>16</v>
      </c>
      <c r="E428" t="s">
        <v>22</v>
      </c>
      <c r="F428">
        <v>26</v>
      </c>
      <c r="G428" t="s">
        <v>26</v>
      </c>
      <c r="H428" s="2">
        <v>46170</v>
      </c>
      <c r="I428" s="2"/>
      <c r="K428" t="s">
        <v>26</v>
      </c>
    </row>
    <row r="429" spans="1:11" x14ac:dyDescent="0.35">
      <c r="A429" t="s">
        <v>455</v>
      </c>
      <c r="B429" s="2">
        <v>46202</v>
      </c>
      <c r="C429" t="s">
        <v>34</v>
      </c>
      <c r="D429" t="s">
        <v>35</v>
      </c>
      <c r="E429" t="s">
        <v>22</v>
      </c>
      <c r="F429">
        <v>17</v>
      </c>
      <c r="G429" t="s">
        <v>13</v>
      </c>
      <c r="H429" s="2">
        <v>46203</v>
      </c>
      <c r="I429" s="2">
        <v>46202</v>
      </c>
      <c r="J429">
        <v>-1</v>
      </c>
      <c r="K429" t="s">
        <v>1344</v>
      </c>
    </row>
    <row r="430" spans="1:11" x14ac:dyDescent="0.35">
      <c r="A430" t="s">
        <v>456</v>
      </c>
      <c r="B430" s="2">
        <v>46202</v>
      </c>
      <c r="C430" t="s">
        <v>15</v>
      </c>
      <c r="D430" t="s">
        <v>16</v>
      </c>
      <c r="E430" t="s">
        <v>55</v>
      </c>
      <c r="F430">
        <v>21</v>
      </c>
      <c r="G430" t="s">
        <v>26</v>
      </c>
      <c r="H430" s="2">
        <v>46205</v>
      </c>
      <c r="I430" s="2"/>
      <c r="K430" t="s">
        <v>26</v>
      </c>
    </row>
    <row r="431" spans="1:11" x14ac:dyDescent="0.35">
      <c r="A431" t="s">
        <v>457</v>
      </c>
      <c r="B431" s="2">
        <v>46174</v>
      </c>
      <c r="C431" t="s">
        <v>19</v>
      </c>
      <c r="D431" t="s">
        <v>20</v>
      </c>
      <c r="E431" t="s">
        <v>24</v>
      </c>
      <c r="F431">
        <v>14</v>
      </c>
      <c r="G431" t="s">
        <v>13</v>
      </c>
      <c r="H431" s="2">
        <v>46178</v>
      </c>
      <c r="I431" s="2">
        <v>46177</v>
      </c>
      <c r="J431">
        <v>-1</v>
      </c>
      <c r="K431" t="s">
        <v>1344</v>
      </c>
    </row>
    <row r="432" spans="1:11" x14ac:dyDescent="0.35">
      <c r="A432" t="s">
        <v>458</v>
      </c>
      <c r="B432" s="2">
        <v>46135</v>
      </c>
      <c r="C432" t="s">
        <v>15</v>
      </c>
      <c r="D432" t="s">
        <v>16</v>
      </c>
      <c r="E432" t="s">
        <v>12</v>
      </c>
      <c r="F432">
        <v>12</v>
      </c>
      <c r="G432" t="s">
        <v>13</v>
      </c>
      <c r="H432" s="2">
        <v>46136</v>
      </c>
      <c r="I432" s="2">
        <v>46136</v>
      </c>
      <c r="J432">
        <v>0</v>
      </c>
      <c r="K432" t="s">
        <v>1344</v>
      </c>
    </row>
    <row r="433" spans="1:11" x14ac:dyDescent="0.35">
      <c r="A433" t="s">
        <v>459</v>
      </c>
      <c r="B433" s="2">
        <v>46121</v>
      </c>
      <c r="C433" t="s">
        <v>10</v>
      </c>
      <c r="D433" t="s">
        <v>11</v>
      </c>
      <c r="E433" t="s">
        <v>43</v>
      </c>
      <c r="F433">
        <v>21</v>
      </c>
      <c r="G433" t="s">
        <v>13</v>
      </c>
      <c r="H433" s="2">
        <v>46122</v>
      </c>
      <c r="I433" s="2">
        <v>46121</v>
      </c>
      <c r="J433">
        <v>-1</v>
      </c>
      <c r="K433" t="s">
        <v>1344</v>
      </c>
    </row>
    <row r="434" spans="1:11" x14ac:dyDescent="0.35">
      <c r="A434" t="s">
        <v>460</v>
      </c>
      <c r="B434" s="2">
        <v>46124</v>
      </c>
      <c r="C434" t="s">
        <v>15</v>
      </c>
      <c r="D434" t="s">
        <v>16</v>
      </c>
      <c r="E434" t="s">
        <v>55</v>
      </c>
      <c r="F434">
        <v>12</v>
      </c>
      <c r="G434" t="s">
        <v>62</v>
      </c>
      <c r="H434" s="2">
        <v>46127</v>
      </c>
      <c r="I434" s="2">
        <v>46128</v>
      </c>
      <c r="J434">
        <v>1</v>
      </c>
      <c r="K434" t="s">
        <v>62</v>
      </c>
    </row>
    <row r="435" spans="1:11" x14ac:dyDescent="0.35">
      <c r="A435" t="s">
        <v>461</v>
      </c>
      <c r="B435" s="2">
        <v>46113</v>
      </c>
      <c r="C435" t="s">
        <v>19</v>
      </c>
      <c r="D435" t="s">
        <v>20</v>
      </c>
      <c r="E435" t="s">
        <v>43</v>
      </c>
      <c r="F435">
        <v>11</v>
      </c>
      <c r="G435" t="s">
        <v>13</v>
      </c>
      <c r="H435" s="2">
        <v>46115</v>
      </c>
      <c r="I435" s="2">
        <v>46115</v>
      </c>
      <c r="J435">
        <v>0</v>
      </c>
      <c r="K435" t="s">
        <v>1344</v>
      </c>
    </row>
    <row r="436" spans="1:11" x14ac:dyDescent="0.35">
      <c r="A436" t="s">
        <v>462</v>
      </c>
      <c r="B436" s="2">
        <v>46170</v>
      </c>
      <c r="C436" t="s">
        <v>19</v>
      </c>
      <c r="D436" t="s">
        <v>20</v>
      </c>
      <c r="E436" t="s">
        <v>17</v>
      </c>
      <c r="F436">
        <v>7</v>
      </c>
      <c r="G436" t="s">
        <v>13</v>
      </c>
      <c r="H436" s="2">
        <v>46173</v>
      </c>
      <c r="I436" s="2">
        <v>46173</v>
      </c>
      <c r="J436">
        <v>0</v>
      </c>
      <c r="K436" t="s">
        <v>1344</v>
      </c>
    </row>
    <row r="437" spans="1:11" x14ac:dyDescent="0.35">
      <c r="A437" t="s">
        <v>463</v>
      </c>
      <c r="B437" s="2">
        <v>46113</v>
      </c>
      <c r="C437" t="s">
        <v>34</v>
      </c>
      <c r="D437" t="s">
        <v>35</v>
      </c>
      <c r="E437" t="s">
        <v>32</v>
      </c>
      <c r="F437">
        <v>4</v>
      </c>
      <c r="G437" t="s">
        <v>13</v>
      </c>
      <c r="H437" s="2">
        <v>46117</v>
      </c>
      <c r="I437" s="2">
        <v>46117</v>
      </c>
      <c r="J437">
        <v>0</v>
      </c>
      <c r="K437" t="s">
        <v>1344</v>
      </c>
    </row>
    <row r="438" spans="1:11" x14ac:dyDescent="0.35">
      <c r="A438" t="s">
        <v>464</v>
      </c>
      <c r="B438" s="2">
        <v>46146</v>
      </c>
      <c r="C438" t="s">
        <v>19</v>
      </c>
      <c r="D438" t="s">
        <v>20</v>
      </c>
      <c r="E438" t="s">
        <v>22</v>
      </c>
      <c r="F438">
        <v>19</v>
      </c>
      <c r="G438" t="s">
        <v>26</v>
      </c>
      <c r="H438" s="2">
        <v>46150</v>
      </c>
      <c r="I438" s="2"/>
      <c r="K438" t="s">
        <v>26</v>
      </c>
    </row>
    <row r="439" spans="1:11" x14ac:dyDescent="0.35">
      <c r="A439" t="s">
        <v>465</v>
      </c>
      <c r="B439" s="2">
        <v>46160</v>
      </c>
      <c r="C439" t="s">
        <v>15</v>
      </c>
      <c r="D439" t="s">
        <v>16</v>
      </c>
      <c r="E439" t="s">
        <v>43</v>
      </c>
      <c r="F439">
        <v>1</v>
      </c>
      <c r="G439" t="s">
        <v>13</v>
      </c>
      <c r="H439" s="2">
        <v>46164</v>
      </c>
      <c r="I439" s="2">
        <v>46163</v>
      </c>
      <c r="J439">
        <v>-1</v>
      </c>
      <c r="K439" t="s">
        <v>1344</v>
      </c>
    </row>
    <row r="440" spans="1:11" x14ac:dyDescent="0.35">
      <c r="A440" t="s">
        <v>466</v>
      </c>
      <c r="B440" s="2">
        <v>46201</v>
      </c>
      <c r="C440" t="s">
        <v>19</v>
      </c>
      <c r="D440" t="s">
        <v>20</v>
      </c>
      <c r="E440" t="s">
        <v>46</v>
      </c>
      <c r="F440">
        <v>28</v>
      </c>
      <c r="G440" t="s">
        <v>26</v>
      </c>
      <c r="H440" s="2">
        <v>46205</v>
      </c>
      <c r="I440" s="2"/>
      <c r="K440" t="s">
        <v>26</v>
      </c>
    </row>
    <row r="441" spans="1:11" x14ac:dyDescent="0.35">
      <c r="A441" t="s">
        <v>467</v>
      </c>
      <c r="B441" s="2">
        <v>46113</v>
      </c>
      <c r="C441" t="s">
        <v>15</v>
      </c>
      <c r="D441" t="s">
        <v>16</v>
      </c>
      <c r="E441" t="s">
        <v>43</v>
      </c>
      <c r="F441">
        <v>24</v>
      </c>
      <c r="G441" t="s">
        <v>13</v>
      </c>
      <c r="H441" s="2">
        <v>46117</v>
      </c>
      <c r="I441" s="2">
        <v>46116</v>
      </c>
      <c r="J441">
        <v>-1</v>
      </c>
      <c r="K441" t="s">
        <v>1344</v>
      </c>
    </row>
    <row r="442" spans="1:11" x14ac:dyDescent="0.35">
      <c r="A442" t="s">
        <v>468</v>
      </c>
      <c r="B442" s="2">
        <v>46128</v>
      </c>
      <c r="C442" t="s">
        <v>19</v>
      </c>
      <c r="D442" t="s">
        <v>20</v>
      </c>
      <c r="E442" t="s">
        <v>32</v>
      </c>
      <c r="F442">
        <v>29</v>
      </c>
      <c r="G442" t="s">
        <v>13</v>
      </c>
      <c r="H442" s="2">
        <v>46130</v>
      </c>
      <c r="I442" s="2">
        <v>46129</v>
      </c>
      <c r="J442">
        <v>-1</v>
      </c>
      <c r="K442" t="s">
        <v>1344</v>
      </c>
    </row>
    <row r="443" spans="1:11" x14ac:dyDescent="0.35">
      <c r="A443" t="s">
        <v>469</v>
      </c>
      <c r="B443" s="2">
        <v>46173</v>
      </c>
      <c r="C443" t="s">
        <v>15</v>
      </c>
      <c r="D443" t="s">
        <v>16</v>
      </c>
      <c r="E443" t="s">
        <v>12</v>
      </c>
      <c r="F443">
        <v>3</v>
      </c>
      <c r="G443" t="s">
        <v>13</v>
      </c>
      <c r="H443" s="2">
        <v>46174</v>
      </c>
      <c r="I443" s="2">
        <v>46174</v>
      </c>
      <c r="J443">
        <v>0</v>
      </c>
      <c r="K443" t="s">
        <v>1344</v>
      </c>
    </row>
    <row r="444" spans="1:11" x14ac:dyDescent="0.35">
      <c r="A444" t="s">
        <v>470</v>
      </c>
      <c r="B444" s="2">
        <v>46176</v>
      </c>
      <c r="C444" t="s">
        <v>10</v>
      </c>
      <c r="D444" t="s">
        <v>11</v>
      </c>
      <c r="E444" t="s">
        <v>22</v>
      </c>
      <c r="F444">
        <v>13</v>
      </c>
      <c r="G444" t="s">
        <v>62</v>
      </c>
      <c r="H444" s="2">
        <v>46179</v>
      </c>
      <c r="I444" s="2">
        <v>46181</v>
      </c>
      <c r="J444">
        <v>2</v>
      </c>
      <c r="K444" t="s">
        <v>62</v>
      </c>
    </row>
    <row r="445" spans="1:11" x14ac:dyDescent="0.35">
      <c r="A445" t="s">
        <v>471</v>
      </c>
      <c r="B445" s="2">
        <v>46175</v>
      </c>
      <c r="C445" t="s">
        <v>10</v>
      </c>
      <c r="D445" t="s">
        <v>11</v>
      </c>
      <c r="E445" t="s">
        <v>17</v>
      </c>
      <c r="F445">
        <v>15</v>
      </c>
      <c r="G445" t="s">
        <v>13</v>
      </c>
      <c r="H445" s="2">
        <v>46178</v>
      </c>
      <c r="I445" s="2">
        <v>46177</v>
      </c>
      <c r="J445">
        <v>-1</v>
      </c>
      <c r="K445" t="s">
        <v>1344</v>
      </c>
    </row>
    <row r="446" spans="1:11" x14ac:dyDescent="0.35">
      <c r="A446" t="s">
        <v>472</v>
      </c>
      <c r="B446" s="2">
        <v>46181</v>
      </c>
      <c r="C446" t="s">
        <v>15</v>
      </c>
      <c r="D446" t="s">
        <v>16</v>
      </c>
      <c r="E446" t="s">
        <v>55</v>
      </c>
      <c r="F446">
        <v>2</v>
      </c>
      <c r="G446" t="s">
        <v>62</v>
      </c>
      <c r="H446" s="2">
        <v>46185</v>
      </c>
      <c r="I446" s="2">
        <v>46187</v>
      </c>
      <c r="J446">
        <v>2</v>
      </c>
      <c r="K446" t="s">
        <v>62</v>
      </c>
    </row>
    <row r="447" spans="1:11" x14ac:dyDescent="0.35">
      <c r="A447" t="s">
        <v>473</v>
      </c>
      <c r="B447" s="2">
        <v>46134</v>
      </c>
      <c r="C447" t="s">
        <v>15</v>
      </c>
      <c r="D447" t="s">
        <v>16</v>
      </c>
      <c r="E447" t="s">
        <v>17</v>
      </c>
      <c r="F447">
        <v>11</v>
      </c>
      <c r="G447" t="s">
        <v>13</v>
      </c>
      <c r="H447" s="2">
        <v>46137</v>
      </c>
      <c r="I447" s="2">
        <v>46137</v>
      </c>
      <c r="J447">
        <v>0</v>
      </c>
      <c r="K447" t="s">
        <v>1344</v>
      </c>
    </row>
    <row r="448" spans="1:11" x14ac:dyDescent="0.35">
      <c r="A448" t="s">
        <v>474</v>
      </c>
      <c r="B448" s="2">
        <v>46179</v>
      </c>
      <c r="C448" t="s">
        <v>15</v>
      </c>
      <c r="D448" t="s">
        <v>16</v>
      </c>
      <c r="E448" t="s">
        <v>32</v>
      </c>
      <c r="F448">
        <v>4</v>
      </c>
      <c r="G448" t="s">
        <v>13</v>
      </c>
      <c r="H448" s="2">
        <v>46183</v>
      </c>
      <c r="I448" s="2">
        <v>46183</v>
      </c>
      <c r="J448">
        <v>0</v>
      </c>
      <c r="K448" t="s">
        <v>1344</v>
      </c>
    </row>
    <row r="449" spans="1:11" x14ac:dyDescent="0.35">
      <c r="A449" t="s">
        <v>475</v>
      </c>
      <c r="B449" s="2">
        <v>46188</v>
      </c>
      <c r="C449" t="s">
        <v>34</v>
      </c>
      <c r="D449" t="s">
        <v>35</v>
      </c>
      <c r="E449" t="s">
        <v>22</v>
      </c>
      <c r="F449">
        <v>19</v>
      </c>
      <c r="G449" t="s">
        <v>13</v>
      </c>
      <c r="H449" s="2">
        <v>46190</v>
      </c>
      <c r="I449" s="2">
        <v>46189</v>
      </c>
      <c r="J449">
        <v>-1</v>
      </c>
      <c r="K449" t="s">
        <v>1344</v>
      </c>
    </row>
    <row r="450" spans="1:11" x14ac:dyDescent="0.35">
      <c r="A450" t="s">
        <v>476</v>
      </c>
      <c r="B450" s="2">
        <v>46138</v>
      </c>
      <c r="C450" t="s">
        <v>10</v>
      </c>
      <c r="D450" t="s">
        <v>11</v>
      </c>
      <c r="E450" t="s">
        <v>43</v>
      </c>
      <c r="F450">
        <v>29</v>
      </c>
      <c r="G450" t="s">
        <v>13</v>
      </c>
      <c r="H450" s="2">
        <v>46140</v>
      </c>
      <c r="I450" s="2">
        <v>46140</v>
      </c>
      <c r="J450">
        <v>0</v>
      </c>
      <c r="K450" t="s">
        <v>1344</v>
      </c>
    </row>
    <row r="451" spans="1:11" x14ac:dyDescent="0.35">
      <c r="A451" t="s">
        <v>477</v>
      </c>
      <c r="B451" s="2">
        <v>46128</v>
      </c>
      <c r="C451" t="s">
        <v>15</v>
      </c>
      <c r="D451" t="s">
        <v>16</v>
      </c>
      <c r="E451" t="s">
        <v>12</v>
      </c>
      <c r="F451">
        <v>17</v>
      </c>
      <c r="G451" t="s">
        <v>26</v>
      </c>
      <c r="H451" s="2">
        <v>46129</v>
      </c>
      <c r="I451" s="2"/>
      <c r="K451" t="s">
        <v>26</v>
      </c>
    </row>
    <row r="452" spans="1:11" x14ac:dyDescent="0.35">
      <c r="A452" t="s">
        <v>478</v>
      </c>
      <c r="B452" s="2">
        <v>46163</v>
      </c>
      <c r="C452" t="s">
        <v>34</v>
      </c>
      <c r="D452" t="s">
        <v>35</v>
      </c>
      <c r="E452" t="s">
        <v>24</v>
      </c>
      <c r="F452">
        <v>3</v>
      </c>
      <c r="G452" t="s">
        <v>62</v>
      </c>
      <c r="H452" s="2">
        <v>46165</v>
      </c>
      <c r="I452" s="2">
        <v>46168</v>
      </c>
      <c r="J452">
        <v>3</v>
      </c>
      <c r="K452" t="s">
        <v>62</v>
      </c>
    </row>
    <row r="453" spans="1:11" x14ac:dyDescent="0.35">
      <c r="A453" t="s">
        <v>479</v>
      </c>
      <c r="B453" s="2">
        <v>46198</v>
      </c>
      <c r="C453" t="s">
        <v>15</v>
      </c>
      <c r="D453" t="s">
        <v>16</v>
      </c>
      <c r="E453" t="s">
        <v>12</v>
      </c>
      <c r="F453">
        <v>28</v>
      </c>
      <c r="G453" t="s">
        <v>26</v>
      </c>
      <c r="H453" s="2">
        <v>46200</v>
      </c>
      <c r="I453" s="2"/>
      <c r="K453" t="s">
        <v>26</v>
      </c>
    </row>
    <row r="454" spans="1:11" x14ac:dyDescent="0.35">
      <c r="A454" t="s">
        <v>480</v>
      </c>
      <c r="B454" s="2">
        <v>46169</v>
      </c>
      <c r="C454" t="s">
        <v>19</v>
      </c>
      <c r="D454" t="s">
        <v>20</v>
      </c>
      <c r="E454" t="s">
        <v>24</v>
      </c>
      <c r="F454">
        <v>18</v>
      </c>
      <c r="G454" t="s">
        <v>26</v>
      </c>
      <c r="H454" s="2">
        <v>46170</v>
      </c>
      <c r="I454" s="2"/>
      <c r="K454" t="s">
        <v>26</v>
      </c>
    </row>
    <row r="455" spans="1:11" x14ac:dyDescent="0.35">
      <c r="A455" t="s">
        <v>481</v>
      </c>
      <c r="B455" s="2">
        <v>46141</v>
      </c>
      <c r="C455" t="s">
        <v>15</v>
      </c>
      <c r="D455" t="s">
        <v>16</v>
      </c>
      <c r="E455" t="s">
        <v>46</v>
      </c>
      <c r="F455">
        <v>8</v>
      </c>
      <c r="G455" t="s">
        <v>13</v>
      </c>
      <c r="H455" s="2">
        <v>46144</v>
      </c>
      <c r="I455" s="2">
        <v>46143</v>
      </c>
      <c r="J455">
        <v>-1</v>
      </c>
      <c r="K455" t="s">
        <v>1344</v>
      </c>
    </row>
    <row r="456" spans="1:11" x14ac:dyDescent="0.35">
      <c r="A456" t="s">
        <v>482</v>
      </c>
      <c r="B456" s="2">
        <v>46190</v>
      </c>
      <c r="C456" t="s">
        <v>15</v>
      </c>
      <c r="D456" t="s">
        <v>16</v>
      </c>
      <c r="E456" t="s">
        <v>12</v>
      </c>
      <c r="F456">
        <v>22</v>
      </c>
      <c r="G456" t="s">
        <v>13</v>
      </c>
      <c r="H456" s="2">
        <v>46194</v>
      </c>
      <c r="I456" s="2">
        <v>46194</v>
      </c>
      <c r="J456">
        <v>0</v>
      </c>
      <c r="K456" t="s">
        <v>1344</v>
      </c>
    </row>
    <row r="457" spans="1:11" x14ac:dyDescent="0.35">
      <c r="A457" t="s">
        <v>483</v>
      </c>
      <c r="B457" s="2">
        <v>46181</v>
      </c>
      <c r="C457" t="s">
        <v>15</v>
      </c>
      <c r="D457" t="s">
        <v>16</v>
      </c>
      <c r="E457" t="s">
        <v>22</v>
      </c>
      <c r="F457">
        <v>25</v>
      </c>
      <c r="G457" t="s">
        <v>62</v>
      </c>
      <c r="H457" s="2">
        <v>46185</v>
      </c>
      <c r="I457" s="2">
        <v>46186</v>
      </c>
      <c r="J457">
        <v>1</v>
      </c>
      <c r="K457" t="s">
        <v>62</v>
      </c>
    </row>
    <row r="458" spans="1:11" x14ac:dyDescent="0.35">
      <c r="A458" t="s">
        <v>484</v>
      </c>
      <c r="B458" s="2">
        <v>46159</v>
      </c>
      <c r="C458" t="s">
        <v>34</v>
      </c>
      <c r="D458" t="s">
        <v>35</v>
      </c>
      <c r="E458" t="s">
        <v>24</v>
      </c>
      <c r="F458">
        <v>24</v>
      </c>
      <c r="G458" t="s">
        <v>13</v>
      </c>
      <c r="H458" s="2">
        <v>46162</v>
      </c>
      <c r="I458" s="2">
        <v>46161</v>
      </c>
      <c r="J458">
        <v>-1</v>
      </c>
      <c r="K458" t="s">
        <v>1344</v>
      </c>
    </row>
    <row r="459" spans="1:11" x14ac:dyDescent="0.35">
      <c r="A459" t="s">
        <v>485</v>
      </c>
      <c r="B459" s="2">
        <v>46174</v>
      </c>
      <c r="C459" t="s">
        <v>19</v>
      </c>
      <c r="D459" t="s">
        <v>20</v>
      </c>
      <c r="E459" t="s">
        <v>55</v>
      </c>
      <c r="F459">
        <v>26</v>
      </c>
      <c r="G459" t="s">
        <v>13</v>
      </c>
      <c r="H459" s="2">
        <v>46175</v>
      </c>
      <c r="I459" s="2">
        <v>46175</v>
      </c>
      <c r="J459">
        <v>0</v>
      </c>
      <c r="K459" t="s">
        <v>1344</v>
      </c>
    </row>
    <row r="460" spans="1:11" x14ac:dyDescent="0.35">
      <c r="A460" t="s">
        <v>486</v>
      </c>
      <c r="B460" s="2">
        <v>46181</v>
      </c>
      <c r="C460" t="s">
        <v>34</v>
      </c>
      <c r="D460" t="s">
        <v>35</v>
      </c>
      <c r="E460" t="s">
        <v>22</v>
      </c>
      <c r="F460">
        <v>19</v>
      </c>
      <c r="G460" t="s">
        <v>13</v>
      </c>
      <c r="H460" s="2">
        <v>46184</v>
      </c>
      <c r="I460" s="2">
        <v>46184</v>
      </c>
      <c r="J460">
        <v>0</v>
      </c>
      <c r="K460" t="s">
        <v>1344</v>
      </c>
    </row>
    <row r="461" spans="1:11" x14ac:dyDescent="0.35">
      <c r="A461" t="s">
        <v>487</v>
      </c>
      <c r="B461" s="2">
        <v>46188</v>
      </c>
      <c r="C461" t="s">
        <v>15</v>
      </c>
      <c r="D461" t="s">
        <v>16</v>
      </c>
      <c r="E461" t="s">
        <v>55</v>
      </c>
      <c r="F461">
        <v>5</v>
      </c>
      <c r="G461" t="s">
        <v>13</v>
      </c>
      <c r="H461" s="2">
        <v>46190</v>
      </c>
      <c r="I461" s="2">
        <v>46190</v>
      </c>
      <c r="J461">
        <v>0</v>
      </c>
      <c r="K461" t="s">
        <v>1344</v>
      </c>
    </row>
    <row r="462" spans="1:11" x14ac:dyDescent="0.35">
      <c r="A462" t="s">
        <v>488</v>
      </c>
      <c r="B462" s="2">
        <v>46128</v>
      </c>
      <c r="C462" t="s">
        <v>10</v>
      </c>
      <c r="D462" t="s">
        <v>11</v>
      </c>
      <c r="E462" t="s">
        <v>12</v>
      </c>
      <c r="F462">
        <v>7</v>
      </c>
      <c r="G462" t="s">
        <v>62</v>
      </c>
      <c r="H462" s="2">
        <v>46129</v>
      </c>
      <c r="I462" s="2">
        <v>46132</v>
      </c>
      <c r="J462">
        <v>3</v>
      </c>
      <c r="K462" t="s">
        <v>62</v>
      </c>
    </row>
    <row r="463" spans="1:11" x14ac:dyDescent="0.35">
      <c r="A463" t="s">
        <v>489</v>
      </c>
      <c r="B463" s="2">
        <v>46202</v>
      </c>
      <c r="C463" t="s">
        <v>19</v>
      </c>
      <c r="D463" t="s">
        <v>20</v>
      </c>
      <c r="E463" t="s">
        <v>55</v>
      </c>
      <c r="F463">
        <v>21</v>
      </c>
      <c r="G463" t="s">
        <v>13</v>
      </c>
      <c r="H463" s="2">
        <v>46203</v>
      </c>
      <c r="I463" s="2">
        <v>46203</v>
      </c>
      <c r="J463">
        <v>0</v>
      </c>
      <c r="K463" t="s">
        <v>1344</v>
      </c>
    </row>
    <row r="464" spans="1:11" x14ac:dyDescent="0.35">
      <c r="A464" t="s">
        <v>490</v>
      </c>
      <c r="B464" s="2">
        <v>46202</v>
      </c>
      <c r="C464" t="s">
        <v>15</v>
      </c>
      <c r="D464" t="s">
        <v>16</v>
      </c>
      <c r="E464" t="s">
        <v>24</v>
      </c>
      <c r="F464">
        <v>8</v>
      </c>
      <c r="G464" t="s">
        <v>13</v>
      </c>
      <c r="H464" s="2">
        <v>46203</v>
      </c>
      <c r="I464" s="2">
        <v>46203</v>
      </c>
      <c r="J464">
        <v>0</v>
      </c>
      <c r="K464" t="s">
        <v>1344</v>
      </c>
    </row>
    <row r="465" spans="1:11" x14ac:dyDescent="0.35">
      <c r="A465" t="s">
        <v>491</v>
      </c>
      <c r="B465" s="2">
        <v>46160</v>
      </c>
      <c r="C465" t="s">
        <v>19</v>
      </c>
      <c r="D465" t="s">
        <v>20</v>
      </c>
      <c r="E465" t="s">
        <v>22</v>
      </c>
      <c r="F465">
        <v>28</v>
      </c>
      <c r="G465" t="s">
        <v>13</v>
      </c>
      <c r="H465" s="2">
        <v>46164</v>
      </c>
      <c r="I465" s="2">
        <v>46164</v>
      </c>
      <c r="J465">
        <v>0</v>
      </c>
      <c r="K465" t="s">
        <v>1344</v>
      </c>
    </row>
    <row r="466" spans="1:11" x14ac:dyDescent="0.35">
      <c r="A466" t="s">
        <v>492</v>
      </c>
      <c r="B466" s="2">
        <v>46197</v>
      </c>
      <c r="C466" t="s">
        <v>19</v>
      </c>
      <c r="D466" t="s">
        <v>20</v>
      </c>
      <c r="E466" t="s">
        <v>43</v>
      </c>
      <c r="F466">
        <v>5</v>
      </c>
      <c r="G466" t="s">
        <v>13</v>
      </c>
      <c r="H466" s="2">
        <v>46200</v>
      </c>
      <c r="I466" s="2">
        <v>46200</v>
      </c>
      <c r="J466">
        <v>0</v>
      </c>
      <c r="K466" t="s">
        <v>1344</v>
      </c>
    </row>
    <row r="467" spans="1:11" x14ac:dyDescent="0.35">
      <c r="A467" t="s">
        <v>493</v>
      </c>
      <c r="B467" s="2">
        <v>46151</v>
      </c>
      <c r="C467" t="s">
        <v>15</v>
      </c>
      <c r="D467" t="s">
        <v>16</v>
      </c>
      <c r="E467" t="s">
        <v>32</v>
      </c>
      <c r="F467">
        <v>17</v>
      </c>
      <c r="G467" t="s">
        <v>13</v>
      </c>
      <c r="H467" s="2">
        <v>46152</v>
      </c>
      <c r="I467" s="2">
        <v>46151</v>
      </c>
      <c r="J467">
        <v>-1</v>
      </c>
      <c r="K467" t="s">
        <v>1344</v>
      </c>
    </row>
    <row r="468" spans="1:11" x14ac:dyDescent="0.35">
      <c r="A468" t="s">
        <v>494</v>
      </c>
      <c r="B468" s="2">
        <v>46145</v>
      </c>
      <c r="C468" t="s">
        <v>19</v>
      </c>
      <c r="D468" t="s">
        <v>20</v>
      </c>
      <c r="E468" t="s">
        <v>24</v>
      </c>
      <c r="F468">
        <v>5</v>
      </c>
      <c r="G468" t="s">
        <v>13</v>
      </c>
      <c r="H468" s="2">
        <v>46146</v>
      </c>
      <c r="I468" s="2">
        <v>46145</v>
      </c>
      <c r="J468">
        <v>-1</v>
      </c>
      <c r="K468" t="s">
        <v>1344</v>
      </c>
    </row>
    <row r="469" spans="1:11" x14ac:dyDescent="0.35">
      <c r="A469" t="s">
        <v>495</v>
      </c>
      <c r="B469" s="2">
        <v>46135</v>
      </c>
      <c r="C469" t="s">
        <v>10</v>
      </c>
      <c r="D469" t="s">
        <v>11</v>
      </c>
      <c r="E469" t="s">
        <v>24</v>
      </c>
      <c r="F469">
        <v>4</v>
      </c>
      <c r="G469" t="s">
        <v>26</v>
      </c>
      <c r="H469" s="2">
        <v>46136</v>
      </c>
      <c r="I469" s="2"/>
      <c r="K469" t="s">
        <v>26</v>
      </c>
    </row>
    <row r="470" spans="1:11" x14ac:dyDescent="0.35">
      <c r="A470" t="s">
        <v>496</v>
      </c>
      <c r="B470" s="2">
        <v>46122</v>
      </c>
      <c r="C470" t="s">
        <v>34</v>
      </c>
      <c r="D470" t="s">
        <v>35</v>
      </c>
      <c r="E470" t="s">
        <v>43</v>
      </c>
      <c r="F470">
        <v>22</v>
      </c>
      <c r="G470" t="s">
        <v>62</v>
      </c>
      <c r="H470" s="2">
        <v>46125</v>
      </c>
      <c r="I470" s="2">
        <v>46127</v>
      </c>
      <c r="J470">
        <v>2</v>
      </c>
      <c r="K470" t="s">
        <v>62</v>
      </c>
    </row>
    <row r="471" spans="1:11" x14ac:dyDescent="0.35">
      <c r="A471" t="s">
        <v>497</v>
      </c>
      <c r="B471" s="2">
        <v>46181</v>
      </c>
      <c r="C471" t="s">
        <v>15</v>
      </c>
      <c r="D471" t="s">
        <v>16</v>
      </c>
      <c r="E471" t="s">
        <v>22</v>
      </c>
      <c r="F471">
        <v>19</v>
      </c>
      <c r="G471" t="s">
        <v>13</v>
      </c>
      <c r="H471" s="2">
        <v>46185</v>
      </c>
      <c r="I471" s="2">
        <v>46184</v>
      </c>
      <c r="J471">
        <v>-1</v>
      </c>
      <c r="K471" t="s">
        <v>1344</v>
      </c>
    </row>
    <row r="472" spans="1:11" x14ac:dyDescent="0.35">
      <c r="A472" t="s">
        <v>498</v>
      </c>
      <c r="B472" s="2">
        <v>46146</v>
      </c>
      <c r="C472" t="s">
        <v>15</v>
      </c>
      <c r="D472" t="s">
        <v>16</v>
      </c>
      <c r="E472" t="s">
        <v>22</v>
      </c>
      <c r="F472">
        <v>27</v>
      </c>
      <c r="G472" t="s">
        <v>13</v>
      </c>
      <c r="H472" s="2">
        <v>46148</v>
      </c>
      <c r="I472" s="2">
        <v>46148</v>
      </c>
      <c r="J472">
        <v>0</v>
      </c>
      <c r="K472" t="s">
        <v>1344</v>
      </c>
    </row>
    <row r="473" spans="1:11" x14ac:dyDescent="0.35">
      <c r="A473" t="s">
        <v>499</v>
      </c>
      <c r="B473" s="2">
        <v>46164</v>
      </c>
      <c r="C473" t="s">
        <v>19</v>
      </c>
      <c r="D473" t="s">
        <v>20</v>
      </c>
      <c r="E473" t="s">
        <v>17</v>
      </c>
      <c r="F473">
        <v>21</v>
      </c>
      <c r="G473" t="s">
        <v>62</v>
      </c>
      <c r="H473" s="2">
        <v>46168</v>
      </c>
      <c r="I473" s="2">
        <v>46172</v>
      </c>
      <c r="J473">
        <v>4</v>
      </c>
      <c r="K473" t="s">
        <v>62</v>
      </c>
    </row>
    <row r="474" spans="1:11" x14ac:dyDescent="0.35">
      <c r="A474" t="s">
        <v>500</v>
      </c>
      <c r="B474" s="2">
        <v>46122</v>
      </c>
      <c r="C474" t="s">
        <v>19</v>
      </c>
      <c r="D474" t="s">
        <v>20</v>
      </c>
      <c r="E474" t="s">
        <v>12</v>
      </c>
      <c r="F474">
        <v>2</v>
      </c>
      <c r="G474" t="s">
        <v>13</v>
      </c>
      <c r="H474" s="2">
        <v>46123</v>
      </c>
      <c r="I474" s="2">
        <v>46122</v>
      </c>
      <c r="J474">
        <v>-1</v>
      </c>
      <c r="K474" t="s">
        <v>1344</v>
      </c>
    </row>
    <row r="475" spans="1:11" x14ac:dyDescent="0.35">
      <c r="A475" t="s">
        <v>501</v>
      </c>
      <c r="B475" s="2">
        <v>46131</v>
      </c>
      <c r="C475" t="s">
        <v>10</v>
      </c>
      <c r="D475" t="s">
        <v>11</v>
      </c>
      <c r="E475" t="s">
        <v>55</v>
      </c>
      <c r="F475">
        <v>11</v>
      </c>
      <c r="G475" t="s">
        <v>13</v>
      </c>
      <c r="H475" s="2">
        <v>46135</v>
      </c>
      <c r="I475" s="2">
        <v>46135</v>
      </c>
      <c r="J475">
        <v>0</v>
      </c>
      <c r="K475" t="s">
        <v>1344</v>
      </c>
    </row>
    <row r="476" spans="1:11" x14ac:dyDescent="0.35">
      <c r="A476" t="s">
        <v>502</v>
      </c>
      <c r="B476" s="2">
        <v>46170</v>
      </c>
      <c r="C476" t="s">
        <v>34</v>
      </c>
      <c r="D476" t="s">
        <v>35</v>
      </c>
      <c r="E476" t="s">
        <v>12</v>
      </c>
      <c r="F476">
        <v>22</v>
      </c>
      <c r="G476" t="s">
        <v>13</v>
      </c>
      <c r="H476" s="2">
        <v>46174</v>
      </c>
      <c r="I476" s="2">
        <v>46174</v>
      </c>
      <c r="J476">
        <v>0</v>
      </c>
      <c r="K476" t="s">
        <v>1344</v>
      </c>
    </row>
    <row r="477" spans="1:11" x14ac:dyDescent="0.35">
      <c r="A477" t="s">
        <v>503</v>
      </c>
      <c r="B477" s="2">
        <v>46113</v>
      </c>
      <c r="C477" t="s">
        <v>10</v>
      </c>
      <c r="D477" t="s">
        <v>11</v>
      </c>
      <c r="E477" t="s">
        <v>43</v>
      </c>
      <c r="F477">
        <v>13</v>
      </c>
      <c r="G477" t="s">
        <v>13</v>
      </c>
      <c r="H477" s="2">
        <v>46115</v>
      </c>
      <c r="I477" s="2">
        <v>46115</v>
      </c>
      <c r="J477">
        <v>0</v>
      </c>
      <c r="K477" t="s">
        <v>1344</v>
      </c>
    </row>
    <row r="478" spans="1:11" x14ac:dyDescent="0.35">
      <c r="A478" t="s">
        <v>504</v>
      </c>
      <c r="B478" s="2">
        <v>46181</v>
      </c>
      <c r="C478" t="s">
        <v>10</v>
      </c>
      <c r="D478" t="s">
        <v>11</v>
      </c>
      <c r="E478" t="s">
        <v>12</v>
      </c>
      <c r="F478">
        <v>15</v>
      </c>
      <c r="G478" t="s">
        <v>13</v>
      </c>
      <c r="H478" s="2">
        <v>46184</v>
      </c>
      <c r="I478" s="2">
        <v>46184</v>
      </c>
      <c r="J478">
        <v>0</v>
      </c>
      <c r="K478" t="s">
        <v>1344</v>
      </c>
    </row>
    <row r="479" spans="1:11" x14ac:dyDescent="0.35">
      <c r="A479" t="s">
        <v>505</v>
      </c>
      <c r="B479" s="2">
        <v>46116</v>
      </c>
      <c r="C479" t="s">
        <v>34</v>
      </c>
      <c r="D479" t="s">
        <v>35</v>
      </c>
      <c r="E479" t="s">
        <v>43</v>
      </c>
      <c r="F479">
        <v>12</v>
      </c>
      <c r="G479" t="s">
        <v>62</v>
      </c>
      <c r="H479" s="2">
        <v>46119</v>
      </c>
      <c r="I479" s="2">
        <v>46122</v>
      </c>
      <c r="J479">
        <v>3</v>
      </c>
      <c r="K479" t="s">
        <v>62</v>
      </c>
    </row>
    <row r="480" spans="1:11" x14ac:dyDescent="0.35">
      <c r="A480" t="s">
        <v>506</v>
      </c>
      <c r="B480" s="2">
        <v>46128</v>
      </c>
      <c r="C480" t="s">
        <v>15</v>
      </c>
      <c r="D480" t="s">
        <v>16</v>
      </c>
      <c r="E480" t="s">
        <v>22</v>
      </c>
      <c r="F480">
        <v>22</v>
      </c>
      <c r="G480" t="s">
        <v>13</v>
      </c>
      <c r="H480" s="2">
        <v>46132</v>
      </c>
      <c r="I480" s="2">
        <v>46131</v>
      </c>
      <c r="J480">
        <v>-1</v>
      </c>
      <c r="K480" t="s">
        <v>1344</v>
      </c>
    </row>
    <row r="481" spans="1:11" x14ac:dyDescent="0.35">
      <c r="A481" t="s">
        <v>507</v>
      </c>
      <c r="B481" s="2">
        <v>46136</v>
      </c>
      <c r="C481" t="s">
        <v>19</v>
      </c>
      <c r="D481" t="s">
        <v>20</v>
      </c>
      <c r="E481" t="s">
        <v>55</v>
      </c>
      <c r="F481">
        <v>21</v>
      </c>
      <c r="G481" t="s">
        <v>13</v>
      </c>
      <c r="H481" s="2">
        <v>46140</v>
      </c>
      <c r="I481" s="2">
        <v>46140</v>
      </c>
      <c r="J481">
        <v>0</v>
      </c>
      <c r="K481" t="s">
        <v>1344</v>
      </c>
    </row>
    <row r="482" spans="1:11" x14ac:dyDescent="0.35">
      <c r="A482" t="s">
        <v>508</v>
      </c>
      <c r="B482" s="2">
        <v>46192</v>
      </c>
      <c r="C482" t="s">
        <v>34</v>
      </c>
      <c r="D482" t="s">
        <v>35</v>
      </c>
      <c r="E482" t="s">
        <v>12</v>
      </c>
      <c r="F482">
        <v>22</v>
      </c>
      <c r="G482" t="s">
        <v>13</v>
      </c>
      <c r="H482" s="2">
        <v>46195</v>
      </c>
      <c r="I482" s="2">
        <v>46194</v>
      </c>
      <c r="J482">
        <v>-1</v>
      </c>
      <c r="K482" t="s">
        <v>1344</v>
      </c>
    </row>
    <row r="483" spans="1:11" x14ac:dyDescent="0.35">
      <c r="A483" t="s">
        <v>509</v>
      </c>
      <c r="B483" s="2">
        <v>46114</v>
      </c>
      <c r="C483" t="s">
        <v>19</v>
      </c>
      <c r="D483" t="s">
        <v>20</v>
      </c>
      <c r="E483" t="s">
        <v>24</v>
      </c>
      <c r="F483">
        <v>11</v>
      </c>
      <c r="G483" t="s">
        <v>13</v>
      </c>
      <c r="H483" s="2">
        <v>46117</v>
      </c>
      <c r="I483" s="2">
        <v>46116</v>
      </c>
      <c r="J483">
        <v>-1</v>
      </c>
      <c r="K483" t="s">
        <v>1344</v>
      </c>
    </row>
    <row r="484" spans="1:11" x14ac:dyDescent="0.35">
      <c r="A484" t="s">
        <v>510</v>
      </c>
      <c r="B484" s="2">
        <v>46144</v>
      </c>
      <c r="C484" t="s">
        <v>15</v>
      </c>
      <c r="D484" t="s">
        <v>16</v>
      </c>
      <c r="E484" t="s">
        <v>46</v>
      </c>
      <c r="F484">
        <v>7</v>
      </c>
      <c r="G484" t="s">
        <v>13</v>
      </c>
      <c r="H484" s="2">
        <v>46146</v>
      </c>
      <c r="I484" s="2">
        <v>46146</v>
      </c>
      <c r="J484">
        <v>0</v>
      </c>
      <c r="K484" t="s">
        <v>1344</v>
      </c>
    </row>
    <row r="485" spans="1:11" x14ac:dyDescent="0.35">
      <c r="A485" t="s">
        <v>511</v>
      </c>
      <c r="B485" s="2">
        <v>46203</v>
      </c>
      <c r="C485" t="s">
        <v>15</v>
      </c>
      <c r="D485" t="s">
        <v>16</v>
      </c>
      <c r="E485" t="s">
        <v>17</v>
      </c>
      <c r="F485">
        <v>28</v>
      </c>
      <c r="G485" t="s">
        <v>26</v>
      </c>
      <c r="H485" s="2">
        <v>46204</v>
      </c>
      <c r="I485" s="2"/>
      <c r="K485" t="s">
        <v>26</v>
      </c>
    </row>
    <row r="486" spans="1:11" x14ac:dyDescent="0.35">
      <c r="A486" t="s">
        <v>512</v>
      </c>
      <c r="B486" s="2">
        <v>46196</v>
      </c>
      <c r="C486" t="s">
        <v>15</v>
      </c>
      <c r="D486" t="s">
        <v>16</v>
      </c>
      <c r="E486" t="s">
        <v>32</v>
      </c>
      <c r="F486">
        <v>5</v>
      </c>
      <c r="G486" t="s">
        <v>26</v>
      </c>
      <c r="H486" s="2">
        <v>46200</v>
      </c>
      <c r="I486" s="2"/>
      <c r="K486" t="s">
        <v>26</v>
      </c>
    </row>
    <row r="487" spans="1:11" x14ac:dyDescent="0.35">
      <c r="A487" t="s">
        <v>513</v>
      </c>
      <c r="B487" s="2">
        <v>46136</v>
      </c>
      <c r="C487" t="s">
        <v>34</v>
      </c>
      <c r="D487" t="s">
        <v>35</v>
      </c>
      <c r="E487" t="s">
        <v>24</v>
      </c>
      <c r="F487">
        <v>17</v>
      </c>
      <c r="G487" t="s">
        <v>13</v>
      </c>
      <c r="H487" s="2">
        <v>46139</v>
      </c>
      <c r="I487" s="2">
        <v>46138</v>
      </c>
      <c r="J487">
        <v>-1</v>
      </c>
      <c r="K487" t="s">
        <v>1344</v>
      </c>
    </row>
    <row r="488" spans="1:11" x14ac:dyDescent="0.35">
      <c r="A488" t="s">
        <v>514</v>
      </c>
      <c r="B488" s="2">
        <v>46124</v>
      </c>
      <c r="C488" t="s">
        <v>19</v>
      </c>
      <c r="D488" t="s">
        <v>20</v>
      </c>
      <c r="E488" t="s">
        <v>22</v>
      </c>
      <c r="F488">
        <v>24</v>
      </c>
      <c r="G488" t="s">
        <v>62</v>
      </c>
      <c r="H488" s="2">
        <v>46128</v>
      </c>
      <c r="I488" s="2">
        <v>46132</v>
      </c>
      <c r="J488">
        <v>4</v>
      </c>
      <c r="K488" t="s">
        <v>62</v>
      </c>
    </row>
    <row r="489" spans="1:11" x14ac:dyDescent="0.35">
      <c r="A489" t="s">
        <v>515</v>
      </c>
      <c r="B489" s="2">
        <v>46162</v>
      </c>
      <c r="C489" t="s">
        <v>15</v>
      </c>
      <c r="D489" t="s">
        <v>16</v>
      </c>
      <c r="E489" t="s">
        <v>32</v>
      </c>
      <c r="F489">
        <v>20</v>
      </c>
      <c r="G489" t="s">
        <v>26</v>
      </c>
      <c r="H489" s="2">
        <v>46166</v>
      </c>
      <c r="I489" s="2"/>
      <c r="K489" t="s">
        <v>26</v>
      </c>
    </row>
    <row r="490" spans="1:11" x14ac:dyDescent="0.35">
      <c r="A490" t="s">
        <v>516</v>
      </c>
      <c r="B490" s="2">
        <v>46147</v>
      </c>
      <c r="C490" t="s">
        <v>19</v>
      </c>
      <c r="D490" t="s">
        <v>20</v>
      </c>
      <c r="E490" t="s">
        <v>46</v>
      </c>
      <c r="F490">
        <v>9</v>
      </c>
      <c r="G490" t="s">
        <v>26</v>
      </c>
      <c r="H490" s="2">
        <v>46150</v>
      </c>
      <c r="I490" s="2"/>
      <c r="K490" t="s">
        <v>26</v>
      </c>
    </row>
    <row r="491" spans="1:11" x14ac:dyDescent="0.35">
      <c r="A491" t="s">
        <v>517</v>
      </c>
      <c r="B491" s="2">
        <v>46145</v>
      </c>
      <c r="C491" t="s">
        <v>34</v>
      </c>
      <c r="D491" t="s">
        <v>35</v>
      </c>
      <c r="E491" t="s">
        <v>46</v>
      </c>
      <c r="F491">
        <v>14</v>
      </c>
      <c r="G491" t="s">
        <v>13</v>
      </c>
      <c r="H491" s="2">
        <v>46147</v>
      </c>
      <c r="I491" s="2">
        <v>46147</v>
      </c>
      <c r="J491">
        <v>0</v>
      </c>
      <c r="K491" t="s">
        <v>1344</v>
      </c>
    </row>
    <row r="492" spans="1:11" x14ac:dyDescent="0.35">
      <c r="A492" t="s">
        <v>518</v>
      </c>
      <c r="B492" s="2">
        <v>46145</v>
      </c>
      <c r="C492" t="s">
        <v>19</v>
      </c>
      <c r="D492" t="s">
        <v>20</v>
      </c>
      <c r="E492" t="s">
        <v>55</v>
      </c>
      <c r="F492">
        <v>26</v>
      </c>
      <c r="G492" t="s">
        <v>13</v>
      </c>
      <c r="H492" s="2">
        <v>46149</v>
      </c>
      <c r="I492" s="2">
        <v>46148</v>
      </c>
      <c r="J492">
        <v>-1</v>
      </c>
      <c r="K492" t="s">
        <v>1344</v>
      </c>
    </row>
    <row r="493" spans="1:11" x14ac:dyDescent="0.35">
      <c r="A493" t="s">
        <v>519</v>
      </c>
      <c r="B493" s="2">
        <v>46173</v>
      </c>
      <c r="C493" t="s">
        <v>15</v>
      </c>
      <c r="D493" t="s">
        <v>16</v>
      </c>
      <c r="E493" t="s">
        <v>32</v>
      </c>
      <c r="F493">
        <v>12</v>
      </c>
      <c r="G493" t="s">
        <v>13</v>
      </c>
      <c r="H493" s="2">
        <v>46175</v>
      </c>
      <c r="I493" s="2">
        <v>46174</v>
      </c>
      <c r="J493">
        <v>-1</v>
      </c>
      <c r="K493" t="s">
        <v>1344</v>
      </c>
    </row>
    <row r="494" spans="1:11" x14ac:dyDescent="0.35">
      <c r="A494" t="s">
        <v>520</v>
      </c>
      <c r="B494" s="2">
        <v>46163</v>
      </c>
      <c r="C494" t="s">
        <v>19</v>
      </c>
      <c r="D494" t="s">
        <v>20</v>
      </c>
      <c r="E494" t="s">
        <v>55</v>
      </c>
      <c r="F494">
        <v>6</v>
      </c>
      <c r="G494" t="s">
        <v>13</v>
      </c>
      <c r="H494" s="2">
        <v>46166</v>
      </c>
      <c r="I494" s="2">
        <v>46165</v>
      </c>
      <c r="J494">
        <v>-1</v>
      </c>
      <c r="K494" t="s">
        <v>1344</v>
      </c>
    </row>
    <row r="495" spans="1:11" x14ac:dyDescent="0.35">
      <c r="A495" t="s">
        <v>521</v>
      </c>
      <c r="B495" s="2">
        <v>46155</v>
      </c>
      <c r="C495" t="s">
        <v>19</v>
      </c>
      <c r="D495" t="s">
        <v>20</v>
      </c>
      <c r="E495" t="s">
        <v>24</v>
      </c>
      <c r="F495">
        <v>17</v>
      </c>
      <c r="G495" t="s">
        <v>13</v>
      </c>
      <c r="H495" s="2">
        <v>46156</v>
      </c>
      <c r="I495" s="2">
        <v>46156</v>
      </c>
      <c r="J495">
        <v>0</v>
      </c>
      <c r="K495" t="s">
        <v>1344</v>
      </c>
    </row>
    <row r="496" spans="1:11" x14ac:dyDescent="0.35">
      <c r="A496" t="s">
        <v>522</v>
      </c>
      <c r="B496" s="2">
        <v>46124</v>
      </c>
      <c r="C496" t="s">
        <v>15</v>
      </c>
      <c r="D496" t="s">
        <v>16</v>
      </c>
      <c r="E496" t="s">
        <v>43</v>
      </c>
      <c r="F496">
        <v>19</v>
      </c>
      <c r="G496" t="s">
        <v>13</v>
      </c>
      <c r="H496" s="2">
        <v>46125</v>
      </c>
      <c r="I496" s="2">
        <v>46125</v>
      </c>
      <c r="J496">
        <v>0</v>
      </c>
      <c r="K496" t="s">
        <v>1344</v>
      </c>
    </row>
    <row r="497" spans="1:11" x14ac:dyDescent="0.35">
      <c r="A497" t="s">
        <v>523</v>
      </c>
      <c r="B497" s="2">
        <v>46179</v>
      </c>
      <c r="C497" t="s">
        <v>15</v>
      </c>
      <c r="D497" t="s">
        <v>16</v>
      </c>
      <c r="E497" t="s">
        <v>43</v>
      </c>
      <c r="F497">
        <v>19</v>
      </c>
      <c r="G497" t="s">
        <v>26</v>
      </c>
      <c r="H497" s="2">
        <v>46183</v>
      </c>
      <c r="I497" s="2"/>
      <c r="K497" t="s">
        <v>26</v>
      </c>
    </row>
    <row r="498" spans="1:11" x14ac:dyDescent="0.35">
      <c r="A498" t="s">
        <v>524</v>
      </c>
      <c r="B498" s="2">
        <v>46177</v>
      </c>
      <c r="C498" t="s">
        <v>19</v>
      </c>
      <c r="D498" t="s">
        <v>20</v>
      </c>
      <c r="E498" t="s">
        <v>43</v>
      </c>
      <c r="F498">
        <v>26</v>
      </c>
      <c r="G498" t="s">
        <v>26</v>
      </c>
      <c r="H498" s="2">
        <v>46180</v>
      </c>
      <c r="I498" s="2"/>
      <c r="K498" t="s">
        <v>26</v>
      </c>
    </row>
    <row r="499" spans="1:11" x14ac:dyDescent="0.35">
      <c r="A499" t="s">
        <v>525</v>
      </c>
      <c r="B499" s="2">
        <v>46145</v>
      </c>
      <c r="C499" t="s">
        <v>19</v>
      </c>
      <c r="D499" t="s">
        <v>20</v>
      </c>
      <c r="E499" t="s">
        <v>32</v>
      </c>
      <c r="F499">
        <v>16</v>
      </c>
      <c r="G499" t="s">
        <v>62</v>
      </c>
      <c r="H499" s="2">
        <v>46147</v>
      </c>
      <c r="I499" s="2">
        <v>46150</v>
      </c>
      <c r="J499">
        <v>3</v>
      </c>
      <c r="K499" t="s">
        <v>62</v>
      </c>
    </row>
    <row r="500" spans="1:11" x14ac:dyDescent="0.35">
      <c r="A500" t="s">
        <v>526</v>
      </c>
      <c r="B500" s="2">
        <v>46152</v>
      </c>
      <c r="C500" t="s">
        <v>15</v>
      </c>
      <c r="D500" t="s">
        <v>16</v>
      </c>
      <c r="E500" t="s">
        <v>43</v>
      </c>
      <c r="F500">
        <v>12</v>
      </c>
      <c r="G500" t="s">
        <v>13</v>
      </c>
      <c r="H500" s="2">
        <v>46156</v>
      </c>
      <c r="I500" s="2">
        <v>46155</v>
      </c>
      <c r="J500">
        <v>-1</v>
      </c>
      <c r="K500" t="s">
        <v>1344</v>
      </c>
    </row>
    <row r="501" spans="1:11" x14ac:dyDescent="0.35">
      <c r="A501" t="s">
        <v>527</v>
      </c>
      <c r="B501" s="2">
        <v>46186</v>
      </c>
      <c r="C501" t="s">
        <v>10</v>
      </c>
      <c r="D501" t="s">
        <v>11</v>
      </c>
      <c r="E501" t="s">
        <v>24</v>
      </c>
      <c r="F501">
        <v>12</v>
      </c>
      <c r="G501" t="s">
        <v>13</v>
      </c>
      <c r="H501" s="2">
        <v>46189</v>
      </c>
      <c r="I501" s="2">
        <v>46189</v>
      </c>
      <c r="J501">
        <v>0</v>
      </c>
      <c r="K501" t="s">
        <v>1344</v>
      </c>
    </row>
    <row r="502" spans="1:11" x14ac:dyDescent="0.35">
      <c r="A502" t="s">
        <v>528</v>
      </c>
      <c r="B502" s="2">
        <v>46155</v>
      </c>
      <c r="C502" t="s">
        <v>19</v>
      </c>
      <c r="D502" t="s">
        <v>20</v>
      </c>
      <c r="E502" t="s">
        <v>55</v>
      </c>
      <c r="F502">
        <v>20</v>
      </c>
      <c r="G502" t="s">
        <v>13</v>
      </c>
      <c r="H502" s="2">
        <v>46158</v>
      </c>
      <c r="I502" s="2">
        <v>46157</v>
      </c>
      <c r="J502">
        <v>-1</v>
      </c>
      <c r="K502" t="s">
        <v>1344</v>
      </c>
    </row>
    <row r="503" spans="1:11" x14ac:dyDescent="0.35">
      <c r="A503" t="s">
        <v>529</v>
      </c>
      <c r="B503" s="2">
        <v>46156</v>
      </c>
      <c r="C503" t="s">
        <v>19</v>
      </c>
      <c r="D503" t="s">
        <v>20</v>
      </c>
      <c r="E503" t="s">
        <v>32</v>
      </c>
      <c r="F503">
        <v>6</v>
      </c>
      <c r="G503" t="s">
        <v>13</v>
      </c>
      <c r="H503" s="2">
        <v>46158</v>
      </c>
      <c r="I503" s="2">
        <v>46158</v>
      </c>
      <c r="J503">
        <v>0</v>
      </c>
      <c r="K503" t="s">
        <v>1344</v>
      </c>
    </row>
    <row r="504" spans="1:11" x14ac:dyDescent="0.35">
      <c r="A504" t="s">
        <v>530</v>
      </c>
      <c r="B504" s="2">
        <v>46141</v>
      </c>
      <c r="C504" t="s">
        <v>19</v>
      </c>
      <c r="D504" t="s">
        <v>20</v>
      </c>
      <c r="E504" t="s">
        <v>55</v>
      </c>
      <c r="F504">
        <v>23</v>
      </c>
      <c r="G504" t="s">
        <v>13</v>
      </c>
      <c r="H504" s="2">
        <v>46145</v>
      </c>
      <c r="I504" s="2">
        <v>46144</v>
      </c>
      <c r="J504">
        <v>-1</v>
      </c>
      <c r="K504" t="s">
        <v>1344</v>
      </c>
    </row>
    <row r="505" spans="1:11" x14ac:dyDescent="0.35">
      <c r="A505" t="s">
        <v>531</v>
      </c>
      <c r="B505" s="2">
        <v>46125</v>
      </c>
      <c r="C505" t="s">
        <v>19</v>
      </c>
      <c r="D505" t="s">
        <v>20</v>
      </c>
      <c r="E505" t="s">
        <v>32</v>
      </c>
      <c r="F505">
        <v>26</v>
      </c>
      <c r="G505" t="s">
        <v>13</v>
      </c>
      <c r="H505" s="2">
        <v>46128</v>
      </c>
      <c r="I505" s="2">
        <v>46128</v>
      </c>
      <c r="J505">
        <v>0</v>
      </c>
      <c r="K505" t="s">
        <v>1344</v>
      </c>
    </row>
    <row r="506" spans="1:11" x14ac:dyDescent="0.35">
      <c r="A506" t="s">
        <v>532</v>
      </c>
      <c r="B506" s="2">
        <v>46124</v>
      </c>
      <c r="C506" t="s">
        <v>34</v>
      </c>
      <c r="D506" t="s">
        <v>35</v>
      </c>
      <c r="E506" t="s">
        <v>55</v>
      </c>
      <c r="F506">
        <v>4</v>
      </c>
      <c r="G506" t="s">
        <v>13</v>
      </c>
      <c r="H506" s="2">
        <v>46127</v>
      </c>
      <c r="I506" s="2">
        <v>46127</v>
      </c>
      <c r="J506">
        <v>0</v>
      </c>
      <c r="K506" t="s">
        <v>1344</v>
      </c>
    </row>
    <row r="507" spans="1:11" x14ac:dyDescent="0.35">
      <c r="A507" t="s">
        <v>533</v>
      </c>
      <c r="B507" s="2">
        <v>46158</v>
      </c>
      <c r="C507" t="s">
        <v>34</v>
      </c>
      <c r="D507" t="s">
        <v>35</v>
      </c>
      <c r="E507" t="s">
        <v>46</v>
      </c>
      <c r="F507">
        <v>6</v>
      </c>
      <c r="G507" t="s">
        <v>26</v>
      </c>
      <c r="H507" s="2">
        <v>46161</v>
      </c>
      <c r="I507" s="2"/>
      <c r="K507" t="s">
        <v>26</v>
      </c>
    </row>
    <row r="508" spans="1:11" x14ac:dyDescent="0.35">
      <c r="A508" t="s">
        <v>534</v>
      </c>
      <c r="B508" s="2">
        <v>46114</v>
      </c>
      <c r="C508" t="s">
        <v>34</v>
      </c>
      <c r="D508" t="s">
        <v>35</v>
      </c>
      <c r="E508" t="s">
        <v>55</v>
      </c>
      <c r="F508">
        <v>11</v>
      </c>
      <c r="G508" t="s">
        <v>13</v>
      </c>
      <c r="H508" s="2">
        <v>46116</v>
      </c>
      <c r="I508" s="2">
        <v>46115</v>
      </c>
      <c r="J508">
        <v>-1</v>
      </c>
      <c r="K508" t="s">
        <v>1344</v>
      </c>
    </row>
    <row r="509" spans="1:11" x14ac:dyDescent="0.35">
      <c r="A509" t="s">
        <v>535</v>
      </c>
      <c r="B509" s="2">
        <v>46147</v>
      </c>
      <c r="C509" t="s">
        <v>10</v>
      </c>
      <c r="D509" t="s">
        <v>11</v>
      </c>
      <c r="E509" t="s">
        <v>43</v>
      </c>
      <c r="F509">
        <v>1</v>
      </c>
      <c r="G509" t="s">
        <v>26</v>
      </c>
      <c r="H509" s="2">
        <v>46151</v>
      </c>
      <c r="I509" s="2"/>
      <c r="K509" t="s">
        <v>26</v>
      </c>
    </row>
    <row r="510" spans="1:11" x14ac:dyDescent="0.35">
      <c r="A510" t="s">
        <v>536</v>
      </c>
      <c r="B510" s="2">
        <v>46199</v>
      </c>
      <c r="C510" t="s">
        <v>10</v>
      </c>
      <c r="D510" t="s">
        <v>11</v>
      </c>
      <c r="E510" t="s">
        <v>46</v>
      </c>
      <c r="F510">
        <v>30</v>
      </c>
      <c r="G510" t="s">
        <v>13</v>
      </c>
      <c r="H510" s="2">
        <v>46203</v>
      </c>
      <c r="I510" s="2">
        <v>46203</v>
      </c>
      <c r="J510">
        <v>0</v>
      </c>
      <c r="K510" t="s">
        <v>1344</v>
      </c>
    </row>
    <row r="511" spans="1:11" x14ac:dyDescent="0.35">
      <c r="A511" t="s">
        <v>537</v>
      </c>
      <c r="B511" s="2">
        <v>46193</v>
      </c>
      <c r="C511" t="s">
        <v>15</v>
      </c>
      <c r="D511" t="s">
        <v>16</v>
      </c>
      <c r="E511" t="s">
        <v>55</v>
      </c>
      <c r="F511">
        <v>24</v>
      </c>
      <c r="G511" t="s">
        <v>13</v>
      </c>
      <c r="H511" s="2">
        <v>46197</v>
      </c>
      <c r="I511" s="2">
        <v>46196</v>
      </c>
      <c r="J511">
        <v>-1</v>
      </c>
      <c r="K511" t="s">
        <v>1344</v>
      </c>
    </row>
    <row r="512" spans="1:11" x14ac:dyDescent="0.35">
      <c r="A512" t="s">
        <v>538</v>
      </c>
      <c r="B512" s="2">
        <v>46202</v>
      </c>
      <c r="C512" t="s">
        <v>19</v>
      </c>
      <c r="D512" t="s">
        <v>20</v>
      </c>
      <c r="E512" t="s">
        <v>32</v>
      </c>
      <c r="F512">
        <v>23</v>
      </c>
      <c r="G512" t="s">
        <v>13</v>
      </c>
      <c r="H512" s="2">
        <v>46206</v>
      </c>
      <c r="I512" s="2">
        <v>46206</v>
      </c>
      <c r="J512">
        <v>0</v>
      </c>
      <c r="K512" t="s">
        <v>1344</v>
      </c>
    </row>
    <row r="513" spans="1:11" x14ac:dyDescent="0.35">
      <c r="A513" t="s">
        <v>539</v>
      </c>
      <c r="B513" s="2">
        <v>46120</v>
      </c>
      <c r="C513" t="s">
        <v>10</v>
      </c>
      <c r="D513" t="s">
        <v>11</v>
      </c>
      <c r="E513" t="s">
        <v>32</v>
      </c>
      <c r="F513">
        <v>15</v>
      </c>
      <c r="G513" t="s">
        <v>13</v>
      </c>
      <c r="H513" s="2">
        <v>46121</v>
      </c>
      <c r="I513" s="2">
        <v>46121</v>
      </c>
      <c r="J513">
        <v>0</v>
      </c>
      <c r="K513" t="s">
        <v>1344</v>
      </c>
    </row>
    <row r="514" spans="1:11" x14ac:dyDescent="0.35">
      <c r="A514" t="s">
        <v>540</v>
      </c>
      <c r="B514" s="2">
        <v>46138</v>
      </c>
      <c r="C514" t="s">
        <v>10</v>
      </c>
      <c r="D514" t="s">
        <v>11</v>
      </c>
      <c r="E514" t="s">
        <v>17</v>
      </c>
      <c r="F514">
        <v>27</v>
      </c>
      <c r="G514" t="s">
        <v>13</v>
      </c>
      <c r="H514" s="2">
        <v>46139</v>
      </c>
      <c r="I514" s="2">
        <v>46138</v>
      </c>
      <c r="J514">
        <v>-1</v>
      </c>
      <c r="K514" t="s">
        <v>1344</v>
      </c>
    </row>
    <row r="515" spans="1:11" x14ac:dyDescent="0.35">
      <c r="A515" t="s">
        <v>541</v>
      </c>
      <c r="B515" s="2">
        <v>46186</v>
      </c>
      <c r="C515" t="s">
        <v>34</v>
      </c>
      <c r="D515" t="s">
        <v>35</v>
      </c>
      <c r="E515" t="s">
        <v>32</v>
      </c>
      <c r="F515">
        <v>11</v>
      </c>
      <c r="G515" t="s">
        <v>13</v>
      </c>
      <c r="H515" s="2">
        <v>46190</v>
      </c>
      <c r="I515" s="2">
        <v>46189</v>
      </c>
      <c r="J515">
        <v>-1</v>
      </c>
      <c r="K515" t="s">
        <v>1344</v>
      </c>
    </row>
    <row r="516" spans="1:11" x14ac:dyDescent="0.35">
      <c r="A516" t="s">
        <v>542</v>
      </c>
      <c r="B516" s="2">
        <v>46202</v>
      </c>
      <c r="C516" t="s">
        <v>10</v>
      </c>
      <c r="D516" t="s">
        <v>11</v>
      </c>
      <c r="E516" t="s">
        <v>22</v>
      </c>
      <c r="F516">
        <v>25</v>
      </c>
      <c r="G516" t="s">
        <v>13</v>
      </c>
      <c r="H516" s="2">
        <v>46204</v>
      </c>
      <c r="I516" s="2">
        <v>46203</v>
      </c>
      <c r="J516">
        <v>-1</v>
      </c>
      <c r="K516" t="s">
        <v>1344</v>
      </c>
    </row>
    <row r="517" spans="1:11" x14ac:dyDescent="0.35">
      <c r="A517" t="s">
        <v>543</v>
      </c>
      <c r="B517" s="2">
        <v>46146</v>
      </c>
      <c r="C517" t="s">
        <v>15</v>
      </c>
      <c r="D517" t="s">
        <v>16</v>
      </c>
      <c r="E517" t="s">
        <v>24</v>
      </c>
      <c r="F517">
        <v>19</v>
      </c>
      <c r="G517" t="s">
        <v>13</v>
      </c>
      <c r="H517" s="2">
        <v>46147</v>
      </c>
      <c r="I517" s="2">
        <v>46147</v>
      </c>
      <c r="J517">
        <v>0</v>
      </c>
      <c r="K517" t="s">
        <v>1344</v>
      </c>
    </row>
    <row r="518" spans="1:11" x14ac:dyDescent="0.35">
      <c r="A518" t="s">
        <v>544</v>
      </c>
      <c r="B518" s="2">
        <v>46119</v>
      </c>
      <c r="C518" t="s">
        <v>15</v>
      </c>
      <c r="D518" t="s">
        <v>16</v>
      </c>
      <c r="E518" t="s">
        <v>32</v>
      </c>
      <c r="F518">
        <v>18</v>
      </c>
      <c r="G518" t="s">
        <v>13</v>
      </c>
      <c r="H518" s="2">
        <v>46122</v>
      </c>
      <c r="I518" s="2">
        <v>46121</v>
      </c>
      <c r="J518">
        <v>-1</v>
      </c>
      <c r="K518" t="s">
        <v>1344</v>
      </c>
    </row>
    <row r="519" spans="1:11" x14ac:dyDescent="0.35">
      <c r="A519" t="s">
        <v>545</v>
      </c>
      <c r="B519" s="2">
        <v>46180</v>
      </c>
      <c r="C519" t="s">
        <v>15</v>
      </c>
      <c r="D519" t="s">
        <v>16</v>
      </c>
      <c r="E519" t="s">
        <v>46</v>
      </c>
      <c r="F519">
        <v>17</v>
      </c>
      <c r="G519" t="s">
        <v>62</v>
      </c>
      <c r="H519" s="2">
        <v>46181</v>
      </c>
      <c r="I519" s="2">
        <v>46184</v>
      </c>
      <c r="J519">
        <v>3</v>
      </c>
      <c r="K519" t="s">
        <v>62</v>
      </c>
    </row>
    <row r="520" spans="1:11" x14ac:dyDescent="0.35">
      <c r="A520" t="s">
        <v>546</v>
      </c>
      <c r="B520" s="2">
        <v>46170</v>
      </c>
      <c r="C520" t="s">
        <v>15</v>
      </c>
      <c r="D520" t="s">
        <v>16</v>
      </c>
      <c r="E520" t="s">
        <v>17</v>
      </c>
      <c r="F520">
        <v>19</v>
      </c>
      <c r="G520" t="s">
        <v>13</v>
      </c>
      <c r="H520" s="2">
        <v>46173</v>
      </c>
      <c r="I520" s="2">
        <v>46172</v>
      </c>
      <c r="J520">
        <v>-1</v>
      </c>
      <c r="K520" t="s">
        <v>1344</v>
      </c>
    </row>
    <row r="521" spans="1:11" x14ac:dyDescent="0.35">
      <c r="A521" t="s">
        <v>547</v>
      </c>
      <c r="B521" s="2">
        <v>46187</v>
      </c>
      <c r="C521" t="s">
        <v>34</v>
      </c>
      <c r="D521" t="s">
        <v>35</v>
      </c>
      <c r="E521" t="s">
        <v>32</v>
      </c>
      <c r="F521">
        <v>21</v>
      </c>
      <c r="G521" t="s">
        <v>26</v>
      </c>
      <c r="H521" s="2">
        <v>46191</v>
      </c>
      <c r="I521" s="2"/>
      <c r="K521" t="s">
        <v>26</v>
      </c>
    </row>
    <row r="522" spans="1:11" x14ac:dyDescent="0.35">
      <c r="A522" t="s">
        <v>548</v>
      </c>
      <c r="B522" s="2">
        <v>46141</v>
      </c>
      <c r="C522" t="s">
        <v>34</v>
      </c>
      <c r="D522" t="s">
        <v>35</v>
      </c>
      <c r="E522" t="s">
        <v>22</v>
      </c>
      <c r="F522">
        <v>14</v>
      </c>
      <c r="G522" t="s">
        <v>13</v>
      </c>
      <c r="H522" s="2">
        <v>46142</v>
      </c>
      <c r="I522" s="2">
        <v>46141</v>
      </c>
      <c r="J522">
        <v>-1</v>
      </c>
      <c r="K522" t="s">
        <v>1344</v>
      </c>
    </row>
    <row r="523" spans="1:11" x14ac:dyDescent="0.35">
      <c r="A523" t="s">
        <v>549</v>
      </c>
      <c r="B523" s="2">
        <v>46148</v>
      </c>
      <c r="C523" t="s">
        <v>15</v>
      </c>
      <c r="D523" t="s">
        <v>16</v>
      </c>
      <c r="E523" t="s">
        <v>43</v>
      </c>
      <c r="F523">
        <v>27</v>
      </c>
      <c r="G523" t="s">
        <v>62</v>
      </c>
      <c r="H523" s="2">
        <v>46150</v>
      </c>
      <c r="I523" s="2">
        <v>46152</v>
      </c>
      <c r="J523">
        <v>2</v>
      </c>
      <c r="K523" t="s">
        <v>62</v>
      </c>
    </row>
    <row r="524" spans="1:11" x14ac:dyDescent="0.35">
      <c r="A524" t="s">
        <v>550</v>
      </c>
      <c r="B524" s="2">
        <v>46201</v>
      </c>
      <c r="C524" t="s">
        <v>19</v>
      </c>
      <c r="D524" t="s">
        <v>20</v>
      </c>
      <c r="E524" t="s">
        <v>46</v>
      </c>
      <c r="F524">
        <v>18</v>
      </c>
      <c r="G524" t="s">
        <v>26</v>
      </c>
      <c r="H524" s="2">
        <v>46202</v>
      </c>
      <c r="I524" s="2"/>
      <c r="K524" t="s">
        <v>26</v>
      </c>
    </row>
    <row r="525" spans="1:11" x14ac:dyDescent="0.35">
      <c r="A525" t="s">
        <v>551</v>
      </c>
      <c r="B525" s="2">
        <v>46133</v>
      </c>
      <c r="C525" t="s">
        <v>15</v>
      </c>
      <c r="D525" t="s">
        <v>16</v>
      </c>
      <c r="E525" t="s">
        <v>22</v>
      </c>
      <c r="F525">
        <v>28</v>
      </c>
      <c r="G525" t="s">
        <v>13</v>
      </c>
      <c r="H525" s="2">
        <v>46134</v>
      </c>
      <c r="I525" s="2">
        <v>46133</v>
      </c>
      <c r="J525">
        <v>-1</v>
      </c>
      <c r="K525" t="s">
        <v>1344</v>
      </c>
    </row>
    <row r="526" spans="1:11" x14ac:dyDescent="0.35">
      <c r="A526" t="s">
        <v>552</v>
      </c>
      <c r="B526" s="2">
        <v>46148</v>
      </c>
      <c r="C526" t="s">
        <v>19</v>
      </c>
      <c r="D526" t="s">
        <v>20</v>
      </c>
      <c r="E526" t="s">
        <v>43</v>
      </c>
      <c r="F526">
        <v>19</v>
      </c>
      <c r="G526" t="s">
        <v>13</v>
      </c>
      <c r="H526" s="2">
        <v>46149</v>
      </c>
      <c r="I526" s="2">
        <v>46148</v>
      </c>
      <c r="J526">
        <v>-1</v>
      </c>
      <c r="K526" t="s">
        <v>1344</v>
      </c>
    </row>
    <row r="527" spans="1:11" x14ac:dyDescent="0.35">
      <c r="A527" t="s">
        <v>553</v>
      </c>
      <c r="B527" s="2">
        <v>46122</v>
      </c>
      <c r="C527" t="s">
        <v>19</v>
      </c>
      <c r="D527" t="s">
        <v>20</v>
      </c>
      <c r="E527" t="s">
        <v>12</v>
      </c>
      <c r="F527">
        <v>15</v>
      </c>
      <c r="G527" t="s">
        <v>26</v>
      </c>
      <c r="H527" s="2">
        <v>46126</v>
      </c>
      <c r="I527" s="2"/>
      <c r="K527" t="s">
        <v>26</v>
      </c>
    </row>
    <row r="528" spans="1:11" x14ac:dyDescent="0.35">
      <c r="A528" t="s">
        <v>554</v>
      </c>
      <c r="B528" s="2">
        <v>46185</v>
      </c>
      <c r="C528" t="s">
        <v>15</v>
      </c>
      <c r="D528" t="s">
        <v>16</v>
      </c>
      <c r="E528" t="s">
        <v>12</v>
      </c>
      <c r="F528">
        <v>15</v>
      </c>
      <c r="G528" t="s">
        <v>13</v>
      </c>
      <c r="H528" s="2">
        <v>46187</v>
      </c>
      <c r="I528" s="2">
        <v>46186</v>
      </c>
      <c r="J528">
        <v>-1</v>
      </c>
      <c r="K528" t="s">
        <v>1344</v>
      </c>
    </row>
    <row r="529" spans="1:11" x14ac:dyDescent="0.35">
      <c r="A529" t="s">
        <v>555</v>
      </c>
      <c r="B529" s="2">
        <v>46136</v>
      </c>
      <c r="C529" t="s">
        <v>34</v>
      </c>
      <c r="D529" t="s">
        <v>35</v>
      </c>
      <c r="E529" t="s">
        <v>46</v>
      </c>
      <c r="F529">
        <v>4</v>
      </c>
      <c r="G529" t="s">
        <v>13</v>
      </c>
      <c r="H529" s="2">
        <v>46137</v>
      </c>
      <c r="I529" s="2">
        <v>46137</v>
      </c>
      <c r="J529">
        <v>0</v>
      </c>
      <c r="K529" t="s">
        <v>1344</v>
      </c>
    </row>
    <row r="530" spans="1:11" x14ac:dyDescent="0.35">
      <c r="A530" t="s">
        <v>556</v>
      </c>
      <c r="B530" s="2">
        <v>46176</v>
      </c>
      <c r="C530" t="s">
        <v>15</v>
      </c>
      <c r="D530" t="s">
        <v>16</v>
      </c>
      <c r="E530" t="s">
        <v>55</v>
      </c>
      <c r="F530">
        <v>7</v>
      </c>
      <c r="G530" t="s">
        <v>13</v>
      </c>
      <c r="H530" s="2">
        <v>46178</v>
      </c>
      <c r="I530" s="2">
        <v>46177</v>
      </c>
      <c r="J530">
        <v>-1</v>
      </c>
      <c r="K530" t="s">
        <v>1344</v>
      </c>
    </row>
    <row r="531" spans="1:11" x14ac:dyDescent="0.35">
      <c r="A531" t="s">
        <v>557</v>
      </c>
      <c r="B531" s="2">
        <v>46161</v>
      </c>
      <c r="C531" t="s">
        <v>10</v>
      </c>
      <c r="D531" t="s">
        <v>11</v>
      </c>
      <c r="E531" t="s">
        <v>24</v>
      </c>
      <c r="F531">
        <v>13</v>
      </c>
      <c r="G531" t="s">
        <v>26</v>
      </c>
      <c r="H531" s="2">
        <v>46165</v>
      </c>
      <c r="I531" s="2"/>
      <c r="K531" t="s">
        <v>26</v>
      </c>
    </row>
    <row r="532" spans="1:11" x14ac:dyDescent="0.35">
      <c r="A532" t="s">
        <v>558</v>
      </c>
      <c r="B532" s="2">
        <v>46148</v>
      </c>
      <c r="C532" t="s">
        <v>10</v>
      </c>
      <c r="D532" t="s">
        <v>11</v>
      </c>
      <c r="E532" t="s">
        <v>17</v>
      </c>
      <c r="F532">
        <v>3</v>
      </c>
      <c r="G532" t="s">
        <v>26</v>
      </c>
      <c r="H532" s="2">
        <v>46151</v>
      </c>
      <c r="I532" s="2"/>
      <c r="K532" t="s">
        <v>26</v>
      </c>
    </row>
    <row r="533" spans="1:11" x14ac:dyDescent="0.35">
      <c r="A533" t="s">
        <v>559</v>
      </c>
      <c r="B533" s="2">
        <v>46194</v>
      </c>
      <c r="C533" t="s">
        <v>15</v>
      </c>
      <c r="D533" t="s">
        <v>16</v>
      </c>
      <c r="E533" t="s">
        <v>24</v>
      </c>
      <c r="F533">
        <v>16</v>
      </c>
      <c r="G533" t="s">
        <v>13</v>
      </c>
      <c r="H533" s="2">
        <v>46195</v>
      </c>
      <c r="I533" s="2">
        <v>46195</v>
      </c>
      <c r="J533">
        <v>0</v>
      </c>
      <c r="K533" t="s">
        <v>1344</v>
      </c>
    </row>
    <row r="534" spans="1:11" x14ac:dyDescent="0.35">
      <c r="A534" t="s">
        <v>560</v>
      </c>
      <c r="B534" s="2">
        <v>46136</v>
      </c>
      <c r="C534" t="s">
        <v>10</v>
      </c>
      <c r="D534" t="s">
        <v>11</v>
      </c>
      <c r="E534" t="s">
        <v>22</v>
      </c>
      <c r="F534">
        <v>9</v>
      </c>
      <c r="G534" t="s">
        <v>13</v>
      </c>
      <c r="H534" s="2">
        <v>46138</v>
      </c>
      <c r="I534" s="2">
        <v>46137</v>
      </c>
      <c r="J534">
        <v>-1</v>
      </c>
      <c r="K534" t="s">
        <v>1344</v>
      </c>
    </row>
    <row r="535" spans="1:11" x14ac:dyDescent="0.35">
      <c r="A535" t="s">
        <v>561</v>
      </c>
      <c r="B535" s="2">
        <v>46135</v>
      </c>
      <c r="C535" t="s">
        <v>15</v>
      </c>
      <c r="D535" t="s">
        <v>16</v>
      </c>
      <c r="E535" t="s">
        <v>43</v>
      </c>
      <c r="F535">
        <v>8</v>
      </c>
      <c r="G535" t="s">
        <v>13</v>
      </c>
      <c r="H535" s="2">
        <v>46137</v>
      </c>
      <c r="I535" s="2">
        <v>46136</v>
      </c>
      <c r="J535">
        <v>-1</v>
      </c>
      <c r="K535" t="s">
        <v>1344</v>
      </c>
    </row>
    <row r="536" spans="1:11" x14ac:dyDescent="0.35">
      <c r="A536" t="s">
        <v>562</v>
      </c>
      <c r="B536" s="2">
        <v>46174</v>
      </c>
      <c r="C536" t="s">
        <v>15</v>
      </c>
      <c r="D536" t="s">
        <v>16</v>
      </c>
      <c r="E536" t="s">
        <v>24</v>
      </c>
      <c r="F536">
        <v>20</v>
      </c>
      <c r="G536" t="s">
        <v>13</v>
      </c>
      <c r="H536" s="2">
        <v>46178</v>
      </c>
      <c r="I536" s="2">
        <v>46177</v>
      </c>
      <c r="J536">
        <v>-1</v>
      </c>
      <c r="K536" t="s">
        <v>1344</v>
      </c>
    </row>
    <row r="537" spans="1:11" x14ac:dyDescent="0.35">
      <c r="A537" t="s">
        <v>563</v>
      </c>
      <c r="B537" s="2">
        <v>46149</v>
      </c>
      <c r="C537" t="s">
        <v>10</v>
      </c>
      <c r="D537" t="s">
        <v>11</v>
      </c>
      <c r="E537" t="s">
        <v>43</v>
      </c>
      <c r="F537">
        <v>13</v>
      </c>
      <c r="G537" t="s">
        <v>62</v>
      </c>
      <c r="H537" s="2">
        <v>46150</v>
      </c>
      <c r="I537" s="2">
        <v>46153</v>
      </c>
      <c r="J537">
        <v>3</v>
      </c>
      <c r="K537" t="s">
        <v>62</v>
      </c>
    </row>
    <row r="538" spans="1:11" x14ac:dyDescent="0.35">
      <c r="A538" t="s">
        <v>564</v>
      </c>
      <c r="B538" s="2">
        <v>46124</v>
      </c>
      <c r="C538" t="s">
        <v>34</v>
      </c>
      <c r="D538" t="s">
        <v>35</v>
      </c>
      <c r="E538" t="s">
        <v>43</v>
      </c>
      <c r="F538">
        <v>17</v>
      </c>
      <c r="G538" t="s">
        <v>13</v>
      </c>
      <c r="H538" s="2">
        <v>46127</v>
      </c>
      <c r="I538" s="2">
        <v>46127</v>
      </c>
      <c r="J538">
        <v>0</v>
      </c>
      <c r="K538" t="s">
        <v>1344</v>
      </c>
    </row>
    <row r="539" spans="1:11" x14ac:dyDescent="0.35">
      <c r="A539" t="s">
        <v>565</v>
      </c>
      <c r="B539" s="2">
        <v>46167</v>
      </c>
      <c r="C539" t="s">
        <v>10</v>
      </c>
      <c r="D539" t="s">
        <v>11</v>
      </c>
      <c r="E539" t="s">
        <v>22</v>
      </c>
      <c r="F539">
        <v>17</v>
      </c>
      <c r="G539" t="s">
        <v>13</v>
      </c>
      <c r="H539" s="2">
        <v>46169</v>
      </c>
      <c r="I539" s="2">
        <v>46168</v>
      </c>
      <c r="J539">
        <v>-1</v>
      </c>
      <c r="K539" t="s">
        <v>1344</v>
      </c>
    </row>
    <row r="540" spans="1:11" x14ac:dyDescent="0.35">
      <c r="A540" t="s">
        <v>566</v>
      </c>
      <c r="B540" s="2">
        <v>46125</v>
      </c>
      <c r="C540" t="s">
        <v>34</v>
      </c>
      <c r="D540" t="s">
        <v>35</v>
      </c>
      <c r="E540" t="s">
        <v>22</v>
      </c>
      <c r="F540">
        <v>17</v>
      </c>
      <c r="G540" t="s">
        <v>13</v>
      </c>
      <c r="H540" s="2">
        <v>46126</v>
      </c>
      <c r="I540" s="2">
        <v>46126</v>
      </c>
      <c r="J540">
        <v>0</v>
      </c>
      <c r="K540" t="s">
        <v>1344</v>
      </c>
    </row>
    <row r="541" spans="1:11" x14ac:dyDescent="0.35">
      <c r="A541" t="s">
        <v>567</v>
      </c>
      <c r="B541" s="2">
        <v>46135</v>
      </c>
      <c r="C541" t="s">
        <v>19</v>
      </c>
      <c r="D541" t="s">
        <v>20</v>
      </c>
      <c r="E541" t="s">
        <v>22</v>
      </c>
      <c r="F541">
        <v>1</v>
      </c>
      <c r="G541" t="s">
        <v>26</v>
      </c>
      <c r="H541" s="2">
        <v>46138</v>
      </c>
      <c r="I541" s="2"/>
      <c r="K541" t="s">
        <v>26</v>
      </c>
    </row>
    <row r="542" spans="1:11" x14ac:dyDescent="0.35">
      <c r="A542" t="s">
        <v>568</v>
      </c>
      <c r="B542" s="2">
        <v>46201</v>
      </c>
      <c r="C542" t="s">
        <v>15</v>
      </c>
      <c r="D542" t="s">
        <v>16</v>
      </c>
      <c r="E542" t="s">
        <v>24</v>
      </c>
      <c r="F542">
        <v>8</v>
      </c>
      <c r="G542" t="s">
        <v>13</v>
      </c>
      <c r="H542" s="2">
        <v>46203</v>
      </c>
      <c r="I542" s="2">
        <v>46202</v>
      </c>
      <c r="J542">
        <v>-1</v>
      </c>
      <c r="K542" t="s">
        <v>1344</v>
      </c>
    </row>
    <row r="543" spans="1:11" x14ac:dyDescent="0.35">
      <c r="A543" t="s">
        <v>569</v>
      </c>
      <c r="B543" s="2">
        <v>46142</v>
      </c>
      <c r="C543" t="s">
        <v>34</v>
      </c>
      <c r="D543" t="s">
        <v>35</v>
      </c>
      <c r="E543" t="s">
        <v>12</v>
      </c>
      <c r="F543">
        <v>19</v>
      </c>
      <c r="G543" t="s">
        <v>13</v>
      </c>
      <c r="H543" s="2">
        <v>46144</v>
      </c>
      <c r="I543" s="2">
        <v>46143</v>
      </c>
      <c r="J543">
        <v>-1</v>
      </c>
      <c r="K543" t="s">
        <v>1344</v>
      </c>
    </row>
    <row r="544" spans="1:11" x14ac:dyDescent="0.35">
      <c r="A544" t="s">
        <v>570</v>
      </c>
      <c r="B544" s="2">
        <v>46129</v>
      </c>
      <c r="C544" t="s">
        <v>10</v>
      </c>
      <c r="D544" t="s">
        <v>11</v>
      </c>
      <c r="E544" t="s">
        <v>22</v>
      </c>
      <c r="F544">
        <v>6</v>
      </c>
      <c r="G544" t="s">
        <v>13</v>
      </c>
      <c r="H544" s="2">
        <v>46132</v>
      </c>
      <c r="I544" s="2">
        <v>46132</v>
      </c>
      <c r="J544">
        <v>0</v>
      </c>
      <c r="K544" t="s">
        <v>1344</v>
      </c>
    </row>
    <row r="545" spans="1:11" x14ac:dyDescent="0.35">
      <c r="A545" t="s">
        <v>571</v>
      </c>
      <c r="B545" s="2">
        <v>46174</v>
      </c>
      <c r="C545" t="s">
        <v>34</v>
      </c>
      <c r="D545" t="s">
        <v>35</v>
      </c>
      <c r="E545" t="s">
        <v>17</v>
      </c>
      <c r="F545">
        <v>3</v>
      </c>
      <c r="G545" t="s">
        <v>13</v>
      </c>
      <c r="H545" s="2">
        <v>46177</v>
      </c>
      <c r="I545" s="2">
        <v>46177</v>
      </c>
      <c r="J545">
        <v>0</v>
      </c>
      <c r="K545" t="s">
        <v>1344</v>
      </c>
    </row>
    <row r="546" spans="1:11" x14ac:dyDescent="0.35">
      <c r="A546" t="s">
        <v>572</v>
      </c>
      <c r="B546" s="2">
        <v>46196</v>
      </c>
      <c r="C546" t="s">
        <v>19</v>
      </c>
      <c r="D546" t="s">
        <v>20</v>
      </c>
      <c r="E546" t="s">
        <v>24</v>
      </c>
      <c r="F546">
        <v>27</v>
      </c>
      <c r="G546" t="s">
        <v>13</v>
      </c>
      <c r="H546" s="2">
        <v>46200</v>
      </c>
      <c r="I546" s="2">
        <v>46200</v>
      </c>
      <c r="J546">
        <v>0</v>
      </c>
      <c r="K546" t="s">
        <v>1344</v>
      </c>
    </row>
    <row r="547" spans="1:11" x14ac:dyDescent="0.35">
      <c r="A547" t="s">
        <v>573</v>
      </c>
      <c r="B547" s="2">
        <v>46201</v>
      </c>
      <c r="C547" t="s">
        <v>10</v>
      </c>
      <c r="D547" t="s">
        <v>11</v>
      </c>
      <c r="E547" t="s">
        <v>22</v>
      </c>
      <c r="F547">
        <v>5</v>
      </c>
      <c r="G547" t="s">
        <v>13</v>
      </c>
      <c r="H547" s="2">
        <v>46202</v>
      </c>
      <c r="I547" s="2">
        <v>46202</v>
      </c>
      <c r="J547">
        <v>0</v>
      </c>
      <c r="K547" t="s">
        <v>1344</v>
      </c>
    </row>
    <row r="548" spans="1:11" x14ac:dyDescent="0.35">
      <c r="A548" t="s">
        <v>574</v>
      </c>
      <c r="B548" s="2">
        <v>46198</v>
      </c>
      <c r="C548" t="s">
        <v>10</v>
      </c>
      <c r="D548" t="s">
        <v>11</v>
      </c>
      <c r="E548" t="s">
        <v>32</v>
      </c>
      <c r="F548">
        <v>13</v>
      </c>
      <c r="G548" t="s">
        <v>13</v>
      </c>
      <c r="H548" s="2">
        <v>46199</v>
      </c>
      <c r="I548" s="2">
        <v>46198</v>
      </c>
      <c r="J548">
        <v>-1</v>
      </c>
      <c r="K548" t="s">
        <v>1344</v>
      </c>
    </row>
    <row r="549" spans="1:11" x14ac:dyDescent="0.35">
      <c r="A549" t="s">
        <v>575</v>
      </c>
      <c r="B549" s="2">
        <v>46125</v>
      </c>
      <c r="C549" t="s">
        <v>10</v>
      </c>
      <c r="D549" t="s">
        <v>11</v>
      </c>
      <c r="E549" t="s">
        <v>43</v>
      </c>
      <c r="F549">
        <v>15</v>
      </c>
      <c r="G549" t="s">
        <v>62</v>
      </c>
      <c r="H549" s="2">
        <v>46129</v>
      </c>
      <c r="I549" s="2">
        <v>46132</v>
      </c>
      <c r="J549">
        <v>3</v>
      </c>
      <c r="K549" t="s">
        <v>62</v>
      </c>
    </row>
    <row r="550" spans="1:11" x14ac:dyDescent="0.35">
      <c r="A550" t="s">
        <v>576</v>
      </c>
      <c r="B550" s="2">
        <v>46171</v>
      </c>
      <c r="C550" t="s">
        <v>19</v>
      </c>
      <c r="D550" t="s">
        <v>20</v>
      </c>
      <c r="E550" t="s">
        <v>17</v>
      </c>
      <c r="F550">
        <v>14</v>
      </c>
      <c r="G550" t="s">
        <v>26</v>
      </c>
      <c r="H550" s="2">
        <v>46173</v>
      </c>
      <c r="I550" s="2"/>
      <c r="K550" t="s">
        <v>26</v>
      </c>
    </row>
    <row r="551" spans="1:11" x14ac:dyDescent="0.35">
      <c r="A551" t="s">
        <v>577</v>
      </c>
      <c r="B551" s="2">
        <v>46131</v>
      </c>
      <c r="C551" t="s">
        <v>19</v>
      </c>
      <c r="D551" t="s">
        <v>20</v>
      </c>
      <c r="E551" t="s">
        <v>22</v>
      </c>
      <c r="F551">
        <v>29</v>
      </c>
      <c r="G551" t="s">
        <v>62</v>
      </c>
      <c r="H551" s="2">
        <v>46134</v>
      </c>
      <c r="I551" s="2">
        <v>46137</v>
      </c>
      <c r="J551">
        <v>3</v>
      </c>
      <c r="K551" t="s">
        <v>62</v>
      </c>
    </row>
    <row r="552" spans="1:11" x14ac:dyDescent="0.35">
      <c r="A552" t="s">
        <v>578</v>
      </c>
      <c r="B552" s="2">
        <v>46161</v>
      </c>
      <c r="C552" t="s">
        <v>10</v>
      </c>
      <c r="D552" t="s">
        <v>11</v>
      </c>
      <c r="E552" t="s">
        <v>46</v>
      </c>
      <c r="F552">
        <v>23</v>
      </c>
      <c r="G552" t="s">
        <v>13</v>
      </c>
      <c r="H552" s="2">
        <v>46164</v>
      </c>
      <c r="I552" s="2">
        <v>46163</v>
      </c>
      <c r="J552">
        <v>-1</v>
      </c>
      <c r="K552" t="s">
        <v>1344</v>
      </c>
    </row>
    <row r="553" spans="1:11" x14ac:dyDescent="0.35">
      <c r="A553" t="s">
        <v>579</v>
      </c>
      <c r="B553" s="2">
        <v>46124</v>
      </c>
      <c r="C553" t="s">
        <v>10</v>
      </c>
      <c r="D553" t="s">
        <v>11</v>
      </c>
      <c r="E553" t="s">
        <v>43</v>
      </c>
      <c r="F553">
        <v>16</v>
      </c>
      <c r="G553" t="s">
        <v>62</v>
      </c>
      <c r="H553" s="2">
        <v>46127</v>
      </c>
      <c r="I553" s="2">
        <v>46130</v>
      </c>
      <c r="J553">
        <v>3</v>
      </c>
      <c r="K553" t="s">
        <v>62</v>
      </c>
    </row>
    <row r="554" spans="1:11" x14ac:dyDescent="0.35">
      <c r="A554" t="s">
        <v>580</v>
      </c>
      <c r="B554" s="2">
        <v>46173</v>
      </c>
      <c r="C554" t="s">
        <v>15</v>
      </c>
      <c r="D554" t="s">
        <v>16</v>
      </c>
      <c r="E554" t="s">
        <v>43</v>
      </c>
      <c r="F554">
        <v>18</v>
      </c>
      <c r="G554" t="s">
        <v>13</v>
      </c>
      <c r="H554" s="2">
        <v>46175</v>
      </c>
      <c r="I554" s="2">
        <v>46175</v>
      </c>
      <c r="J554">
        <v>0</v>
      </c>
      <c r="K554" t="s">
        <v>1344</v>
      </c>
    </row>
    <row r="555" spans="1:11" x14ac:dyDescent="0.35">
      <c r="A555" t="s">
        <v>581</v>
      </c>
      <c r="B555" s="2">
        <v>46131</v>
      </c>
      <c r="C555" t="s">
        <v>15</v>
      </c>
      <c r="D555" t="s">
        <v>16</v>
      </c>
      <c r="E555" t="s">
        <v>22</v>
      </c>
      <c r="F555">
        <v>22</v>
      </c>
      <c r="G555" t="s">
        <v>13</v>
      </c>
      <c r="H555" s="2">
        <v>46134</v>
      </c>
      <c r="I555" s="2">
        <v>46134</v>
      </c>
      <c r="J555">
        <v>0</v>
      </c>
      <c r="K555" t="s">
        <v>1344</v>
      </c>
    </row>
    <row r="556" spans="1:11" x14ac:dyDescent="0.35">
      <c r="A556" t="s">
        <v>582</v>
      </c>
      <c r="B556" s="2">
        <v>46188</v>
      </c>
      <c r="C556" t="s">
        <v>10</v>
      </c>
      <c r="D556" t="s">
        <v>11</v>
      </c>
      <c r="E556" t="s">
        <v>12</v>
      </c>
      <c r="F556">
        <v>29</v>
      </c>
      <c r="G556" t="s">
        <v>13</v>
      </c>
      <c r="H556" s="2">
        <v>46191</v>
      </c>
      <c r="I556" s="2">
        <v>46191</v>
      </c>
      <c r="J556">
        <v>0</v>
      </c>
      <c r="K556" t="s">
        <v>1344</v>
      </c>
    </row>
    <row r="557" spans="1:11" x14ac:dyDescent="0.35">
      <c r="A557" t="s">
        <v>583</v>
      </c>
      <c r="B557" s="2">
        <v>46121</v>
      </c>
      <c r="C557" t="s">
        <v>15</v>
      </c>
      <c r="D557" t="s">
        <v>16</v>
      </c>
      <c r="E557" t="s">
        <v>55</v>
      </c>
      <c r="F557">
        <v>22</v>
      </c>
      <c r="G557" t="s">
        <v>13</v>
      </c>
      <c r="H557" s="2">
        <v>46125</v>
      </c>
      <c r="I557" s="2">
        <v>46124</v>
      </c>
      <c r="J557">
        <v>-1</v>
      </c>
      <c r="K557" t="s">
        <v>1344</v>
      </c>
    </row>
    <row r="558" spans="1:11" x14ac:dyDescent="0.35">
      <c r="A558" t="s">
        <v>584</v>
      </c>
      <c r="B558" s="2">
        <v>46183</v>
      </c>
      <c r="C558" t="s">
        <v>34</v>
      </c>
      <c r="D558" t="s">
        <v>35</v>
      </c>
      <c r="E558" t="s">
        <v>12</v>
      </c>
      <c r="F558">
        <v>11</v>
      </c>
      <c r="G558" t="s">
        <v>13</v>
      </c>
      <c r="H558" s="2">
        <v>46185</v>
      </c>
      <c r="I558" s="2">
        <v>46184</v>
      </c>
      <c r="J558">
        <v>-1</v>
      </c>
      <c r="K558" t="s">
        <v>1344</v>
      </c>
    </row>
    <row r="559" spans="1:11" x14ac:dyDescent="0.35">
      <c r="A559" t="s">
        <v>585</v>
      </c>
      <c r="B559" s="2">
        <v>46140</v>
      </c>
      <c r="C559" t="s">
        <v>15</v>
      </c>
      <c r="D559" t="s">
        <v>16</v>
      </c>
      <c r="E559" t="s">
        <v>22</v>
      </c>
      <c r="F559">
        <v>3</v>
      </c>
      <c r="G559" t="s">
        <v>13</v>
      </c>
      <c r="H559" s="2">
        <v>46141</v>
      </c>
      <c r="I559" s="2">
        <v>46141</v>
      </c>
      <c r="J559">
        <v>0</v>
      </c>
      <c r="K559" t="s">
        <v>1344</v>
      </c>
    </row>
    <row r="560" spans="1:11" x14ac:dyDescent="0.35">
      <c r="A560" t="s">
        <v>586</v>
      </c>
      <c r="B560" s="2">
        <v>46190</v>
      </c>
      <c r="C560" t="s">
        <v>34</v>
      </c>
      <c r="D560" t="s">
        <v>35</v>
      </c>
      <c r="E560" t="s">
        <v>43</v>
      </c>
      <c r="F560">
        <v>22</v>
      </c>
      <c r="G560" t="s">
        <v>13</v>
      </c>
      <c r="H560" s="2">
        <v>46194</v>
      </c>
      <c r="I560" s="2">
        <v>46194</v>
      </c>
      <c r="J560">
        <v>0</v>
      </c>
      <c r="K560" t="s">
        <v>1344</v>
      </c>
    </row>
    <row r="561" spans="1:11" x14ac:dyDescent="0.35">
      <c r="A561" t="s">
        <v>587</v>
      </c>
      <c r="B561" s="2">
        <v>46164</v>
      </c>
      <c r="C561" t="s">
        <v>19</v>
      </c>
      <c r="D561" t="s">
        <v>20</v>
      </c>
      <c r="E561" t="s">
        <v>17</v>
      </c>
      <c r="F561">
        <v>10</v>
      </c>
      <c r="G561" t="s">
        <v>13</v>
      </c>
      <c r="H561" s="2">
        <v>46168</v>
      </c>
      <c r="I561" s="2">
        <v>46167</v>
      </c>
      <c r="J561">
        <v>-1</v>
      </c>
      <c r="K561" t="s">
        <v>1344</v>
      </c>
    </row>
    <row r="562" spans="1:11" x14ac:dyDescent="0.35">
      <c r="A562" t="s">
        <v>588</v>
      </c>
      <c r="B562" s="2">
        <v>46195</v>
      </c>
      <c r="C562" t="s">
        <v>19</v>
      </c>
      <c r="D562" t="s">
        <v>20</v>
      </c>
      <c r="E562" t="s">
        <v>46</v>
      </c>
      <c r="F562">
        <v>10</v>
      </c>
      <c r="G562" t="s">
        <v>13</v>
      </c>
      <c r="H562" s="2">
        <v>46196</v>
      </c>
      <c r="I562" s="2">
        <v>46196</v>
      </c>
      <c r="J562">
        <v>0</v>
      </c>
      <c r="K562" t="s">
        <v>1344</v>
      </c>
    </row>
    <row r="563" spans="1:11" x14ac:dyDescent="0.35">
      <c r="A563" t="s">
        <v>589</v>
      </c>
      <c r="B563" s="2">
        <v>46128</v>
      </c>
      <c r="C563" t="s">
        <v>15</v>
      </c>
      <c r="D563" t="s">
        <v>16</v>
      </c>
      <c r="E563" t="s">
        <v>17</v>
      </c>
      <c r="F563">
        <v>30</v>
      </c>
      <c r="G563" t="s">
        <v>13</v>
      </c>
      <c r="H563" s="2">
        <v>46132</v>
      </c>
      <c r="I563" s="2">
        <v>46132</v>
      </c>
      <c r="J563">
        <v>0</v>
      </c>
      <c r="K563" t="s">
        <v>1344</v>
      </c>
    </row>
    <row r="564" spans="1:11" x14ac:dyDescent="0.35">
      <c r="A564" t="s">
        <v>590</v>
      </c>
      <c r="B564" s="2">
        <v>46181</v>
      </c>
      <c r="C564" t="s">
        <v>34</v>
      </c>
      <c r="D564" t="s">
        <v>35</v>
      </c>
      <c r="E564" t="s">
        <v>17</v>
      </c>
      <c r="F564">
        <v>21</v>
      </c>
      <c r="G564" t="s">
        <v>13</v>
      </c>
      <c r="H564" s="2">
        <v>46183</v>
      </c>
      <c r="I564" s="2">
        <v>46183</v>
      </c>
      <c r="J564">
        <v>0</v>
      </c>
      <c r="K564" t="s">
        <v>1344</v>
      </c>
    </row>
    <row r="565" spans="1:11" x14ac:dyDescent="0.35">
      <c r="A565" t="s">
        <v>591</v>
      </c>
      <c r="B565" s="2">
        <v>46124</v>
      </c>
      <c r="C565" t="s">
        <v>19</v>
      </c>
      <c r="D565" t="s">
        <v>20</v>
      </c>
      <c r="E565" t="s">
        <v>43</v>
      </c>
      <c r="F565">
        <v>16</v>
      </c>
      <c r="G565" t="s">
        <v>26</v>
      </c>
      <c r="H565" s="2">
        <v>46127</v>
      </c>
      <c r="I565" s="2"/>
      <c r="K565" t="s">
        <v>26</v>
      </c>
    </row>
    <row r="566" spans="1:11" x14ac:dyDescent="0.35">
      <c r="A566" t="s">
        <v>592</v>
      </c>
      <c r="B566" s="2">
        <v>46137</v>
      </c>
      <c r="C566" t="s">
        <v>15</v>
      </c>
      <c r="D566" t="s">
        <v>16</v>
      </c>
      <c r="E566" t="s">
        <v>12</v>
      </c>
      <c r="F566">
        <v>12</v>
      </c>
      <c r="G566" t="s">
        <v>26</v>
      </c>
      <c r="H566" s="2">
        <v>46139</v>
      </c>
      <c r="I566" s="2"/>
      <c r="K566" t="s">
        <v>26</v>
      </c>
    </row>
    <row r="567" spans="1:11" x14ac:dyDescent="0.35">
      <c r="A567" t="s">
        <v>593</v>
      </c>
      <c r="B567" s="2">
        <v>46164</v>
      </c>
      <c r="C567" t="s">
        <v>19</v>
      </c>
      <c r="D567" t="s">
        <v>20</v>
      </c>
      <c r="E567" t="s">
        <v>46</v>
      </c>
      <c r="F567">
        <v>2</v>
      </c>
      <c r="G567" t="s">
        <v>13</v>
      </c>
      <c r="H567" s="2">
        <v>46165</v>
      </c>
      <c r="I567" s="2">
        <v>46165</v>
      </c>
      <c r="J567">
        <v>0</v>
      </c>
      <c r="K567" t="s">
        <v>1344</v>
      </c>
    </row>
    <row r="568" spans="1:11" x14ac:dyDescent="0.35">
      <c r="A568" t="s">
        <v>594</v>
      </c>
      <c r="B568" s="2">
        <v>46197</v>
      </c>
      <c r="C568" t="s">
        <v>34</v>
      </c>
      <c r="D568" t="s">
        <v>35</v>
      </c>
      <c r="E568" t="s">
        <v>24</v>
      </c>
      <c r="F568">
        <v>9</v>
      </c>
      <c r="G568" t="s">
        <v>13</v>
      </c>
      <c r="H568" s="2">
        <v>46198</v>
      </c>
      <c r="I568" s="2">
        <v>46198</v>
      </c>
      <c r="J568">
        <v>0</v>
      </c>
      <c r="K568" t="s">
        <v>1344</v>
      </c>
    </row>
    <row r="569" spans="1:11" x14ac:dyDescent="0.35">
      <c r="A569" t="s">
        <v>595</v>
      </c>
      <c r="B569" s="2">
        <v>46165</v>
      </c>
      <c r="C569" t="s">
        <v>34</v>
      </c>
      <c r="D569" t="s">
        <v>35</v>
      </c>
      <c r="E569" t="s">
        <v>32</v>
      </c>
      <c r="F569">
        <v>24</v>
      </c>
      <c r="G569" t="s">
        <v>13</v>
      </c>
      <c r="H569" s="2">
        <v>46169</v>
      </c>
      <c r="I569" s="2">
        <v>46169</v>
      </c>
      <c r="J569">
        <v>0</v>
      </c>
      <c r="K569" t="s">
        <v>1344</v>
      </c>
    </row>
    <row r="570" spans="1:11" x14ac:dyDescent="0.35">
      <c r="A570" t="s">
        <v>596</v>
      </c>
      <c r="B570" s="2">
        <v>46135</v>
      </c>
      <c r="C570" t="s">
        <v>19</v>
      </c>
      <c r="D570" t="s">
        <v>20</v>
      </c>
      <c r="E570" t="s">
        <v>43</v>
      </c>
      <c r="F570">
        <v>3</v>
      </c>
      <c r="G570" t="s">
        <v>26</v>
      </c>
      <c r="H570" s="2">
        <v>46137</v>
      </c>
      <c r="I570" s="2"/>
      <c r="K570" t="s">
        <v>26</v>
      </c>
    </row>
    <row r="571" spans="1:11" x14ac:dyDescent="0.35">
      <c r="A571" t="s">
        <v>597</v>
      </c>
      <c r="B571" s="2">
        <v>46128</v>
      </c>
      <c r="C571" t="s">
        <v>15</v>
      </c>
      <c r="D571" t="s">
        <v>16</v>
      </c>
      <c r="E571" t="s">
        <v>22</v>
      </c>
      <c r="F571">
        <v>24</v>
      </c>
      <c r="G571" t="s">
        <v>13</v>
      </c>
      <c r="H571" s="2">
        <v>46130</v>
      </c>
      <c r="I571" s="2">
        <v>46130</v>
      </c>
      <c r="J571">
        <v>0</v>
      </c>
      <c r="K571" t="s">
        <v>1344</v>
      </c>
    </row>
    <row r="572" spans="1:11" x14ac:dyDescent="0.35">
      <c r="A572" t="s">
        <v>598</v>
      </c>
      <c r="B572" s="2">
        <v>46169</v>
      </c>
      <c r="C572" t="s">
        <v>10</v>
      </c>
      <c r="D572" t="s">
        <v>11</v>
      </c>
      <c r="E572" t="s">
        <v>24</v>
      </c>
      <c r="F572">
        <v>30</v>
      </c>
      <c r="G572" t="s">
        <v>13</v>
      </c>
      <c r="H572" s="2">
        <v>46170</v>
      </c>
      <c r="I572" s="2">
        <v>46170</v>
      </c>
      <c r="J572">
        <v>0</v>
      </c>
      <c r="K572" t="s">
        <v>1344</v>
      </c>
    </row>
    <row r="573" spans="1:11" x14ac:dyDescent="0.35">
      <c r="A573" t="s">
        <v>599</v>
      </c>
      <c r="B573" s="2">
        <v>46151</v>
      </c>
      <c r="C573" t="s">
        <v>19</v>
      </c>
      <c r="D573" t="s">
        <v>20</v>
      </c>
      <c r="E573" t="s">
        <v>32</v>
      </c>
      <c r="F573">
        <v>25</v>
      </c>
      <c r="G573" t="s">
        <v>13</v>
      </c>
      <c r="H573" s="2">
        <v>46153</v>
      </c>
      <c r="I573" s="2">
        <v>46153</v>
      </c>
      <c r="J573">
        <v>0</v>
      </c>
      <c r="K573" t="s">
        <v>1344</v>
      </c>
    </row>
    <row r="574" spans="1:11" x14ac:dyDescent="0.35">
      <c r="A574" t="s">
        <v>600</v>
      </c>
      <c r="B574" s="2">
        <v>46165</v>
      </c>
      <c r="C574" t="s">
        <v>15</v>
      </c>
      <c r="D574" t="s">
        <v>16</v>
      </c>
      <c r="E574" t="s">
        <v>22</v>
      </c>
      <c r="F574">
        <v>30</v>
      </c>
      <c r="G574" t="s">
        <v>13</v>
      </c>
      <c r="H574" s="2">
        <v>46166</v>
      </c>
      <c r="I574" s="2">
        <v>46165</v>
      </c>
      <c r="J574">
        <v>-1</v>
      </c>
      <c r="K574" t="s">
        <v>1344</v>
      </c>
    </row>
    <row r="575" spans="1:11" x14ac:dyDescent="0.35">
      <c r="A575" t="s">
        <v>601</v>
      </c>
      <c r="B575" s="2">
        <v>46154</v>
      </c>
      <c r="C575" t="s">
        <v>10</v>
      </c>
      <c r="D575" t="s">
        <v>11</v>
      </c>
      <c r="E575" t="s">
        <v>17</v>
      </c>
      <c r="F575">
        <v>15</v>
      </c>
      <c r="G575" t="s">
        <v>13</v>
      </c>
      <c r="H575" s="2">
        <v>46156</v>
      </c>
      <c r="I575" s="2">
        <v>46155</v>
      </c>
      <c r="J575">
        <v>-1</v>
      </c>
      <c r="K575" t="s">
        <v>1344</v>
      </c>
    </row>
    <row r="576" spans="1:11" x14ac:dyDescent="0.35">
      <c r="A576" t="s">
        <v>602</v>
      </c>
      <c r="B576" s="2">
        <v>46170</v>
      </c>
      <c r="C576" t="s">
        <v>19</v>
      </c>
      <c r="D576" t="s">
        <v>20</v>
      </c>
      <c r="E576" t="s">
        <v>55</v>
      </c>
      <c r="F576">
        <v>3</v>
      </c>
      <c r="G576" t="s">
        <v>26</v>
      </c>
      <c r="H576" s="2">
        <v>46172</v>
      </c>
      <c r="I576" s="2"/>
      <c r="K576" t="s">
        <v>26</v>
      </c>
    </row>
    <row r="577" spans="1:11" x14ac:dyDescent="0.35">
      <c r="A577" t="s">
        <v>603</v>
      </c>
      <c r="B577" s="2">
        <v>46151</v>
      </c>
      <c r="C577" t="s">
        <v>15</v>
      </c>
      <c r="D577" t="s">
        <v>16</v>
      </c>
      <c r="E577" t="s">
        <v>22</v>
      </c>
      <c r="F577">
        <v>19</v>
      </c>
      <c r="G577" t="s">
        <v>13</v>
      </c>
      <c r="H577" s="2">
        <v>46153</v>
      </c>
      <c r="I577" s="2">
        <v>46152</v>
      </c>
      <c r="J577">
        <v>-1</v>
      </c>
      <c r="K577" t="s">
        <v>1344</v>
      </c>
    </row>
    <row r="578" spans="1:11" x14ac:dyDescent="0.35">
      <c r="A578" t="s">
        <v>604</v>
      </c>
      <c r="B578" s="2">
        <v>46126</v>
      </c>
      <c r="C578" t="s">
        <v>19</v>
      </c>
      <c r="D578" t="s">
        <v>20</v>
      </c>
      <c r="E578" t="s">
        <v>46</v>
      </c>
      <c r="F578">
        <v>18</v>
      </c>
      <c r="G578" t="s">
        <v>13</v>
      </c>
      <c r="H578" s="2">
        <v>46127</v>
      </c>
      <c r="I578" s="2">
        <v>46127</v>
      </c>
      <c r="J578">
        <v>0</v>
      </c>
      <c r="K578" t="s">
        <v>1344</v>
      </c>
    </row>
    <row r="579" spans="1:11" x14ac:dyDescent="0.35">
      <c r="A579" t="s">
        <v>605</v>
      </c>
      <c r="B579" s="2">
        <v>46117</v>
      </c>
      <c r="C579" t="s">
        <v>10</v>
      </c>
      <c r="D579" t="s">
        <v>11</v>
      </c>
      <c r="E579" t="s">
        <v>46</v>
      </c>
      <c r="F579">
        <v>8</v>
      </c>
      <c r="G579" t="s">
        <v>26</v>
      </c>
      <c r="H579" s="2">
        <v>46121</v>
      </c>
      <c r="I579" s="2"/>
      <c r="K579" t="s">
        <v>26</v>
      </c>
    </row>
    <row r="580" spans="1:11" x14ac:dyDescent="0.35">
      <c r="A580" t="s">
        <v>606</v>
      </c>
      <c r="B580" s="2">
        <v>46147</v>
      </c>
      <c r="C580" t="s">
        <v>10</v>
      </c>
      <c r="D580" t="s">
        <v>11</v>
      </c>
      <c r="E580" t="s">
        <v>55</v>
      </c>
      <c r="F580">
        <v>26</v>
      </c>
      <c r="G580" t="s">
        <v>26</v>
      </c>
      <c r="H580" s="2">
        <v>46149</v>
      </c>
      <c r="I580" s="2"/>
      <c r="K580" t="s">
        <v>26</v>
      </c>
    </row>
    <row r="581" spans="1:11" x14ac:dyDescent="0.35">
      <c r="A581" t="s">
        <v>607</v>
      </c>
      <c r="B581" s="2">
        <v>46199</v>
      </c>
      <c r="C581" t="s">
        <v>10</v>
      </c>
      <c r="D581" t="s">
        <v>11</v>
      </c>
      <c r="E581" t="s">
        <v>24</v>
      </c>
      <c r="F581">
        <v>17</v>
      </c>
      <c r="G581" t="s">
        <v>13</v>
      </c>
      <c r="H581" s="2">
        <v>46200</v>
      </c>
      <c r="I581" s="2">
        <v>46200</v>
      </c>
      <c r="J581">
        <v>0</v>
      </c>
      <c r="K581" t="s">
        <v>1344</v>
      </c>
    </row>
    <row r="582" spans="1:11" x14ac:dyDescent="0.35">
      <c r="A582" t="s">
        <v>608</v>
      </c>
      <c r="B582" s="2">
        <v>46187</v>
      </c>
      <c r="C582" t="s">
        <v>15</v>
      </c>
      <c r="D582" t="s">
        <v>16</v>
      </c>
      <c r="E582" t="s">
        <v>32</v>
      </c>
      <c r="F582">
        <v>8</v>
      </c>
      <c r="G582" t="s">
        <v>13</v>
      </c>
      <c r="H582" s="2">
        <v>46188</v>
      </c>
      <c r="I582" s="2">
        <v>46187</v>
      </c>
      <c r="J582">
        <v>-1</v>
      </c>
      <c r="K582" t="s">
        <v>1344</v>
      </c>
    </row>
    <row r="583" spans="1:11" x14ac:dyDescent="0.35">
      <c r="A583" t="s">
        <v>609</v>
      </c>
      <c r="B583" s="2">
        <v>46130</v>
      </c>
      <c r="C583" t="s">
        <v>19</v>
      </c>
      <c r="D583" t="s">
        <v>20</v>
      </c>
      <c r="E583" t="s">
        <v>22</v>
      </c>
      <c r="F583">
        <v>7</v>
      </c>
      <c r="G583" t="s">
        <v>13</v>
      </c>
      <c r="H583" s="2">
        <v>46132</v>
      </c>
      <c r="I583" s="2">
        <v>46132</v>
      </c>
      <c r="J583">
        <v>0</v>
      </c>
      <c r="K583" t="s">
        <v>1344</v>
      </c>
    </row>
    <row r="584" spans="1:11" x14ac:dyDescent="0.35">
      <c r="A584" t="s">
        <v>610</v>
      </c>
      <c r="B584" s="2">
        <v>46188</v>
      </c>
      <c r="C584" t="s">
        <v>19</v>
      </c>
      <c r="D584" t="s">
        <v>20</v>
      </c>
      <c r="E584" t="s">
        <v>46</v>
      </c>
      <c r="F584">
        <v>30</v>
      </c>
      <c r="G584" t="s">
        <v>62</v>
      </c>
      <c r="H584" s="2">
        <v>46190</v>
      </c>
      <c r="I584" s="2">
        <v>46192</v>
      </c>
      <c r="J584">
        <v>2</v>
      </c>
      <c r="K584" t="s">
        <v>62</v>
      </c>
    </row>
    <row r="585" spans="1:11" x14ac:dyDescent="0.35">
      <c r="A585" t="s">
        <v>611</v>
      </c>
      <c r="B585" s="2">
        <v>46121</v>
      </c>
      <c r="C585" t="s">
        <v>10</v>
      </c>
      <c r="D585" t="s">
        <v>11</v>
      </c>
      <c r="E585" t="s">
        <v>24</v>
      </c>
      <c r="F585">
        <v>7</v>
      </c>
      <c r="G585" t="s">
        <v>13</v>
      </c>
      <c r="H585" s="2">
        <v>46125</v>
      </c>
      <c r="I585" s="2">
        <v>46125</v>
      </c>
      <c r="J585">
        <v>0</v>
      </c>
      <c r="K585" t="s">
        <v>1344</v>
      </c>
    </row>
    <row r="586" spans="1:11" x14ac:dyDescent="0.35">
      <c r="A586" t="s">
        <v>612</v>
      </c>
      <c r="B586" s="2">
        <v>46186</v>
      </c>
      <c r="C586" t="s">
        <v>19</v>
      </c>
      <c r="D586" t="s">
        <v>20</v>
      </c>
      <c r="E586" t="s">
        <v>55</v>
      </c>
      <c r="F586">
        <v>3</v>
      </c>
      <c r="G586" t="s">
        <v>62</v>
      </c>
      <c r="H586" s="2">
        <v>46187</v>
      </c>
      <c r="I586" s="2">
        <v>46189</v>
      </c>
      <c r="J586">
        <v>2</v>
      </c>
      <c r="K586" t="s">
        <v>62</v>
      </c>
    </row>
    <row r="587" spans="1:11" x14ac:dyDescent="0.35">
      <c r="A587" t="s">
        <v>613</v>
      </c>
      <c r="B587" s="2">
        <v>46170</v>
      </c>
      <c r="C587" t="s">
        <v>10</v>
      </c>
      <c r="D587" t="s">
        <v>11</v>
      </c>
      <c r="E587" t="s">
        <v>12</v>
      </c>
      <c r="F587">
        <v>1</v>
      </c>
      <c r="G587" t="s">
        <v>13</v>
      </c>
      <c r="H587" s="2">
        <v>46171</v>
      </c>
      <c r="I587" s="2">
        <v>46170</v>
      </c>
      <c r="J587">
        <v>-1</v>
      </c>
      <c r="K587" t="s">
        <v>1344</v>
      </c>
    </row>
    <row r="588" spans="1:11" x14ac:dyDescent="0.35">
      <c r="A588" t="s">
        <v>614</v>
      </c>
      <c r="B588" s="2">
        <v>46129</v>
      </c>
      <c r="C588" t="s">
        <v>34</v>
      </c>
      <c r="D588" t="s">
        <v>35</v>
      </c>
      <c r="E588" t="s">
        <v>43</v>
      </c>
      <c r="F588">
        <v>4</v>
      </c>
      <c r="G588" t="s">
        <v>13</v>
      </c>
      <c r="H588" s="2">
        <v>46132</v>
      </c>
      <c r="I588" s="2">
        <v>46131</v>
      </c>
      <c r="J588">
        <v>-1</v>
      </c>
      <c r="K588" t="s">
        <v>1344</v>
      </c>
    </row>
    <row r="589" spans="1:11" x14ac:dyDescent="0.35">
      <c r="A589" t="s">
        <v>615</v>
      </c>
      <c r="B589" s="2">
        <v>46119</v>
      </c>
      <c r="C589" t="s">
        <v>10</v>
      </c>
      <c r="D589" t="s">
        <v>11</v>
      </c>
      <c r="E589" t="s">
        <v>12</v>
      </c>
      <c r="F589">
        <v>25</v>
      </c>
      <c r="G589" t="s">
        <v>13</v>
      </c>
      <c r="H589" s="2">
        <v>46120</v>
      </c>
      <c r="I589" s="2">
        <v>46120</v>
      </c>
      <c r="J589">
        <v>0</v>
      </c>
      <c r="K589" t="s">
        <v>1344</v>
      </c>
    </row>
    <row r="590" spans="1:11" x14ac:dyDescent="0.35">
      <c r="A590" t="s">
        <v>616</v>
      </c>
      <c r="B590" s="2">
        <v>46158</v>
      </c>
      <c r="C590" t="s">
        <v>10</v>
      </c>
      <c r="D590" t="s">
        <v>11</v>
      </c>
      <c r="E590" t="s">
        <v>12</v>
      </c>
      <c r="F590">
        <v>5</v>
      </c>
      <c r="G590" t="s">
        <v>13</v>
      </c>
      <c r="H590" s="2">
        <v>46162</v>
      </c>
      <c r="I590" s="2">
        <v>46161</v>
      </c>
      <c r="J590">
        <v>-1</v>
      </c>
      <c r="K590" t="s">
        <v>1344</v>
      </c>
    </row>
    <row r="591" spans="1:11" x14ac:dyDescent="0.35">
      <c r="A591" t="s">
        <v>617</v>
      </c>
      <c r="B591" s="2">
        <v>46125</v>
      </c>
      <c r="C591" t="s">
        <v>10</v>
      </c>
      <c r="D591" t="s">
        <v>11</v>
      </c>
      <c r="E591" t="s">
        <v>46</v>
      </c>
      <c r="F591">
        <v>1</v>
      </c>
      <c r="G591" t="s">
        <v>13</v>
      </c>
      <c r="H591" s="2">
        <v>46128</v>
      </c>
      <c r="I591" s="2">
        <v>46128</v>
      </c>
      <c r="J591">
        <v>0</v>
      </c>
      <c r="K591" t="s">
        <v>1344</v>
      </c>
    </row>
    <row r="592" spans="1:11" x14ac:dyDescent="0.35">
      <c r="A592" t="s">
        <v>618</v>
      </c>
      <c r="B592" s="2">
        <v>46152</v>
      </c>
      <c r="C592" t="s">
        <v>19</v>
      </c>
      <c r="D592" t="s">
        <v>20</v>
      </c>
      <c r="E592" t="s">
        <v>17</v>
      </c>
      <c r="F592">
        <v>15</v>
      </c>
      <c r="G592" t="s">
        <v>13</v>
      </c>
      <c r="H592" s="2">
        <v>46155</v>
      </c>
      <c r="I592" s="2">
        <v>46155</v>
      </c>
      <c r="J592">
        <v>0</v>
      </c>
      <c r="K592" t="s">
        <v>1344</v>
      </c>
    </row>
    <row r="593" spans="1:11" x14ac:dyDescent="0.35">
      <c r="A593" t="s">
        <v>619</v>
      </c>
      <c r="B593" s="2">
        <v>46154</v>
      </c>
      <c r="C593" t="s">
        <v>34</v>
      </c>
      <c r="D593" t="s">
        <v>35</v>
      </c>
      <c r="E593" t="s">
        <v>17</v>
      </c>
      <c r="F593">
        <v>5</v>
      </c>
      <c r="G593" t="s">
        <v>13</v>
      </c>
      <c r="H593" s="2">
        <v>46157</v>
      </c>
      <c r="I593" s="2">
        <v>46157</v>
      </c>
      <c r="J593">
        <v>0</v>
      </c>
      <c r="K593" t="s">
        <v>1344</v>
      </c>
    </row>
    <row r="594" spans="1:11" x14ac:dyDescent="0.35">
      <c r="A594" t="s">
        <v>620</v>
      </c>
      <c r="B594" s="2">
        <v>46121</v>
      </c>
      <c r="C594" t="s">
        <v>15</v>
      </c>
      <c r="D594" t="s">
        <v>16</v>
      </c>
      <c r="E594" t="s">
        <v>55</v>
      </c>
      <c r="F594">
        <v>13</v>
      </c>
      <c r="G594" t="s">
        <v>62</v>
      </c>
      <c r="H594" s="2">
        <v>46123</v>
      </c>
      <c r="I594" s="2">
        <v>46124</v>
      </c>
      <c r="J594">
        <v>1</v>
      </c>
      <c r="K594" t="s">
        <v>62</v>
      </c>
    </row>
    <row r="595" spans="1:11" x14ac:dyDescent="0.35">
      <c r="A595" t="s">
        <v>621</v>
      </c>
      <c r="B595" s="2">
        <v>46162</v>
      </c>
      <c r="C595" t="s">
        <v>15</v>
      </c>
      <c r="D595" t="s">
        <v>16</v>
      </c>
      <c r="E595" t="s">
        <v>22</v>
      </c>
      <c r="F595">
        <v>8</v>
      </c>
      <c r="G595" t="s">
        <v>13</v>
      </c>
      <c r="H595" s="2">
        <v>46164</v>
      </c>
      <c r="I595" s="2">
        <v>46164</v>
      </c>
      <c r="J595">
        <v>0</v>
      </c>
      <c r="K595" t="s">
        <v>1344</v>
      </c>
    </row>
    <row r="596" spans="1:11" x14ac:dyDescent="0.35">
      <c r="A596" t="s">
        <v>622</v>
      </c>
      <c r="B596" s="2">
        <v>46139</v>
      </c>
      <c r="C596" t="s">
        <v>34</v>
      </c>
      <c r="D596" t="s">
        <v>35</v>
      </c>
      <c r="E596" t="s">
        <v>17</v>
      </c>
      <c r="F596">
        <v>8</v>
      </c>
      <c r="G596" t="s">
        <v>13</v>
      </c>
      <c r="H596" s="2">
        <v>46140</v>
      </c>
      <c r="I596" s="2">
        <v>46140</v>
      </c>
      <c r="J596">
        <v>0</v>
      </c>
      <c r="K596" t="s">
        <v>1344</v>
      </c>
    </row>
    <row r="597" spans="1:11" x14ac:dyDescent="0.35">
      <c r="A597" t="s">
        <v>623</v>
      </c>
      <c r="B597" s="2">
        <v>46178</v>
      </c>
      <c r="C597" t="s">
        <v>10</v>
      </c>
      <c r="D597" t="s">
        <v>11</v>
      </c>
      <c r="E597" t="s">
        <v>12</v>
      </c>
      <c r="F597">
        <v>5</v>
      </c>
      <c r="G597" t="s">
        <v>13</v>
      </c>
      <c r="H597" s="2">
        <v>46181</v>
      </c>
      <c r="I597" s="2">
        <v>46181</v>
      </c>
      <c r="J597">
        <v>0</v>
      </c>
      <c r="K597" t="s">
        <v>1344</v>
      </c>
    </row>
    <row r="598" spans="1:11" x14ac:dyDescent="0.35">
      <c r="A598" t="s">
        <v>624</v>
      </c>
      <c r="B598" s="2">
        <v>46117</v>
      </c>
      <c r="C598" t="s">
        <v>10</v>
      </c>
      <c r="D598" t="s">
        <v>11</v>
      </c>
      <c r="E598" t="s">
        <v>17</v>
      </c>
      <c r="F598">
        <v>28</v>
      </c>
      <c r="G598" t="s">
        <v>13</v>
      </c>
      <c r="H598" s="2">
        <v>46121</v>
      </c>
      <c r="I598" s="2">
        <v>46120</v>
      </c>
      <c r="J598">
        <v>-1</v>
      </c>
      <c r="K598" t="s">
        <v>1344</v>
      </c>
    </row>
    <row r="599" spans="1:11" x14ac:dyDescent="0.35">
      <c r="A599" t="s">
        <v>625</v>
      </c>
      <c r="B599" s="2">
        <v>46141</v>
      </c>
      <c r="C599" t="s">
        <v>10</v>
      </c>
      <c r="D599" t="s">
        <v>11</v>
      </c>
      <c r="E599" t="s">
        <v>12</v>
      </c>
      <c r="F599">
        <v>9</v>
      </c>
      <c r="G599" t="s">
        <v>13</v>
      </c>
      <c r="H599" s="2">
        <v>46143</v>
      </c>
      <c r="I599" s="2">
        <v>46142</v>
      </c>
      <c r="J599">
        <v>-1</v>
      </c>
      <c r="K599" t="s">
        <v>1344</v>
      </c>
    </row>
    <row r="600" spans="1:11" x14ac:dyDescent="0.35">
      <c r="A600" t="s">
        <v>626</v>
      </c>
      <c r="B600" s="2">
        <v>46149</v>
      </c>
      <c r="C600" t="s">
        <v>34</v>
      </c>
      <c r="D600" t="s">
        <v>35</v>
      </c>
      <c r="E600" t="s">
        <v>32</v>
      </c>
      <c r="F600">
        <v>1</v>
      </c>
      <c r="G600" t="s">
        <v>13</v>
      </c>
      <c r="H600" s="2">
        <v>46153</v>
      </c>
      <c r="I600" s="2">
        <v>46152</v>
      </c>
      <c r="J600">
        <v>-1</v>
      </c>
      <c r="K600" t="s">
        <v>1344</v>
      </c>
    </row>
    <row r="601" spans="1:11" x14ac:dyDescent="0.35">
      <c r="A601" t="s">
        <v>627</v>
      </c>
      <c r="B601" s="2">
        <v>46150</v>
      </c>
      <c r="C601" t="s">
        <v>10</v>
      </c>
      <c r="D601" t="s">
        <v>11</v>
      </c>
      <c r="E601" t="s">
        <v>46</v>
      </c>
      <c r="F601">
        <v>4</v>
      </c>
      <c r="G601" t="s">
        <v>62</v>
      </c>
      <c r="H601" s="2">
        <v>46154</v>
      </c>
      <c r="I601" s="2">
        <v>46155</v>
      </c>
      <c r="J601">
        <v>1</v>
      </c>
      <c r="K601" t="s">
        <v>62</v>
      </c>
    </row>
    <row r="602" spans="1:11" x14ac:dyDescent="0.35">
      <c r="A602" t="s">
        <v>628</v>
      </c>
      <c r="B602" s="2">
        <v>46195</v>
      </c>
      <c r="C602" t="s">
        <v>34</v>
      </c>
      <c r="D602" t="s">
        <v>35</v>
      </c>
      <c r="E602" t="s">
        <v>46</v>
      </c>
      <c r="F602">
        <v>3</v>
      </c>
      <c r="G602" t="s">
        <v>13</v>
      </c>
      <c r="H602" s="2">
        <v>46197</v>
      </c>
      <c r="I602" s="2">
        <v>46197</v>
      </c>
      <c r="J602">
        <v>0</v>
      </c>
      <c r="K602" t="s">
        <v>1344</v>
      </c>
    </row>
    <row r="603" spans="1:11" x14ac:dyDescent="0.35">
      <c r="A603" t="s">
        <v>629</v>
      </c>
      <c r="B603" s="2">
        <v>46120</v>
      </c>
      <c r="C603" t="s">
        <v>34</v>
      </c>
      <c r="D603" t="s">
        <v>35</v>
      </c>
      <c r="E603" t="s">
        <v>22</v>
      </c>
      <c r="F603">
        <v>2</v>
      </c>
      <c r="G603" t="s">
        <v>13</v>
      </c>
      <c r="H603" s="2">
        <v>46122</v>
      </c>
      <c r="I603" s="2">
        <v>46122</v>
      </c>
      <c r="J603">
        <v>0</v>
      </c>
      <c r="K603" t="s">
        <v>1344</v>
      </c>
    </row>
    <row r="604" spans="1:11" x14ac:dyDescent="0.35">
      <c r="A604" t="s">
        <v>630</v>
      </c>
      <c r="B604" s="2">
        <v>46177</v>
      </c>
      <c r="C604" t="s">
        <v>10</v>
      </c>
      <c r="D604" t="s">
        <v>11</v>
      </c>
      <c r="E604" t="s">
        <v>17</v>
      </c>
      <c r="F604">
        <v>8</v>
      </c>
      <c r="G604" t="s">
        <v>13</v>
      </c>
      <c r="H604" s="2">
        <v>46179</v>
      </c>
      <c r="I604" s="2">
        <v>46179</v>
      </c>
      <c r="J604">
        <v>0</v>
      </c>
      <c r="K604" t="s">
        <v>1344</v>
      </c>
    </row>
    <row r="605" spans="1:11" x14ac:dyDescent="0.35">
      <c r="A605" t="s">
        <v>631</v>
      </c>
      <c r="B605" s="2">
        <v>46198</v>
      </c>
      <c r="C605" t="s">
        <v>19</v>
      </c>
      <c r="D605" t="s">
        <v>20</v>
      </c>
      <c r="E605" t="s">
        <v>17</v>
      </c>
      <c r="F605">
        <v>23</v>
      </c>
      <c r="G605" t="s">
        <v>13</v>
      </c>
      <c r="H605" s="2">
        <v>46200</v>
      </c>
      <c r="I605" s="2">
        <v>46199</v>
      </c>
      <c r="J605">
        <v>-1</v>
      </c>
      <c r="K605" t="s">
        <v>1344</v>
      </c>
    </row>
    <row r="606" spans="1:11" x14ac:dyDescent="0.35">
      <c r="A606" t="s">
        <v>632</v>
      </c>
      <c r="B606" s="2">
        <v>46129</v>
      </c>
      <c r="C606" t="s">
        <v>34</v>
      </c>
      <c r="D606" t="s">
        <v>35</v>
      </c>
      <c r="E606" t="s">
        <v>43</v>
      </c>
      <c r="F606">
        <v>9</v>
      </c>
      <c r="G606" t="s">
        <v>13</v>
      </c>
      <c r="H606" s="2">
        <v>46132</v>
      </c>
      <c r="I606" s="2">
        <v>46132</v>
      </c>
      <c r="J606">
        <v>0</v>
      </c>
      <c r="K606" t="s">
        <v>1344</v>
      </c>
    </row>
    <row r="607" spans="1:11" x14ac:dyDescent="0.35">
      <c r="A607" t="s">
        <v>633</v>
      </c>
      <c r="B607" s="2">
        <v>46183</v>
      </c>
      <c r="C607" t="s">
        <v>15</v>
      </c>
      <c r="D607" t="s">
        <v>16</v>
      </c>
      <c r="E607" t="s">
        <v>24</v>
      </c>
      <c r="F607">
        <v>2</v>
      </c>
      <c r="G607" t="s">
        <v>26</v>
      </c>
      <c r="H607" s="2">
        <v>46186</v>
      </c>
      <c r="I607" s="2"/>
      <c r="K607" t="s">
        <v>26</v>
      </c>
    </row>
    <row r="608" spans="1:11" x14ac:dyDescent="0.35">
      <c r="A608" t="s">
        <v>634</v>
      </c>
      <c r="B608" s="2">
        <v>46201</v>
      </c>
      <c r="C608" t="s">
        <v>15</v>
      </c>
      <c r="D608" t="s">
        <v>16</v>
      </c>
      <c r="E608" t="s">
        <v>32</v>
      </c>
      <c r="F608">
        <v>14</v>
      </c>
      <c r="G608" t="s">
        <v>26</v>
      </c>
      <c r="H608" s="2">
        <v>46204</v>
      </c>
      <c r="I608" s="2"/>
      <c r="K608" t="s">
        <v>26</v>
      </c>
    </row>
    <row r="609" spans="1:11" x14ac:dyDescent="0.35">
      <c r="A609" t="s">
        <v>635</v>
      </c>
      <c r="B609" s="2">
        <v>46157</v>
      </c>
      <c r="C609" t="s">
        <v>15</v>
      </c>
      <c r="D609" t="s">
        <v>16</v>
      </c>
      <c r="E609" t="s">
        <v>46</v>
      </c>
      <c r="F609">
        <v>14</v>
      </c>
      <c r="G609" t="s">
        <v>13</v>
      </c>
      <c r="H609" s="2">
        <v>46160</v>
      </c>
      <c r="I609" s="2">
        <v>46159</v>
      </c>
      <c r="J609">
        <v>-1</v>
      </c>
      <c r="K609" t="s">
        <v>1344</v>
      </c>
    </row>
    <row r="610" spans="1:11" x14ac:dyDescent="0.35">
      <c r="A610" t="s">
        <v>636</v>
      </c>
      <c r="B610" s="2">
        <v>46116</v>
      </c>
      <c r="C610" t="s">
        <v>10</v>
      </c>
      <c r="D610" t="s">
        <v>11</v>
      </c>
      <c r="E610" t="s">
        <v>32</v>
      </c>
      <c r="F610">
        <v>4</v>
      </c>
      <c r="G610" t="s">
        <v>13</v>
      </c>
      <c r="H610" s="2">
        <v>46117</v>
      </c>
      <c r="I610" s="2">
        <v>46117</v>
      </c>
      <c r="J610">
        <v>0</v>
      </c>
      <c r="K610" t="s">
        <v>1344</v>
      </c>
    </row>
    <row r="611" spans="1:11" x14ac:dyDescent="0.35">
      <c r="A611" t="s">
        <v>637</v>
      </c>
      <c r="B611" s="2">
        <v>46148</v>
      </c>
      <c r="C611" t="s">
        <v>34</v>
      </c>
      <c r="D611" t="s">
        <v>35</v>
      </c>
      <c r="E611" t="s">
        <v>46</v>
      </c>
      <c r="F611">
        <v>30</v>
      </c>
      <c r="G611" t="s">
        <v>13</v>
      </c>
      <c r="H611" s="2">
        <v>46151</v>
      </c>
      <c r="I611" s="2">
        <v>46150</v>
      </c>
      <c r="J611">
        <v>-1</v>
      </c>
      <c r="K611" t="s">
        <v>1344</v>
      </c>
    </row>
    <row r="612" spans="1:11" x14ac:dyDescent="0.35">
      <c r="A612" t="s">
        <v>638</v>
      </c>
      <c r="B612" s="2">
        <v>46182</v>
      </c>
      <c r="C612" t="s">
        <v>10</v>
      </c>
      <c r="D612" t="s">
        <v>11</v>
      </c>
      <c r="E612" t="s">
        <v>32</v>
      </c>
      <c r="F612">
        <v>6</v>
      </c>
      <c r="G612" t="s">
        <v>13</v>
      </c>
      <c r="H612" s="2">
        <v>46184</v>
      </c>
      <c r="I612" s="2">
        <v>46184</v>
      </c>
      <c r="J612">
        <v>0</v>
      </c>
      <c r="K612" t="s">
        <v>1344</v>
      </c>
    </row>
    <row r="613" spans="1:11" x14ac:dyDescent="0.35">
      <c r="A613" t="s">
        <v>639</v>
      </c>
      <c r="B613" s="2">
        <v>46143</v>
      </c>
      <c r="C613" t="s">
        <v>34</v>
      </c>
      <c r="D613" t="s">
        <v>35</v>
      </c>
      <c r="E613" t="s">
        <v>55</v>
      </c>
      <c r="F613">
        <v>11</v>
      </c>
      <c r="G613" t="s">
        <v>13</v>
      </c>
      <c r="H613" s="2">
        <v>46147</v>
      </c>
      <c r="I613" s="2">
        <v>46146</v>
      </c>
      <c r="J613">
        <v>-1</v>
      </c>
      <c r="K613" t="s">
        <v>1344</v>
      </c>
    </row>
    <row r="614" spans="1:11" x14ac:dyDescent="0.35">
      <c r="A614" t="s">
        <v>640</v>
      </c>
      <c r="B614" s="2">
        <v>46131</v>
      </c>
      <c r="C614" t="s">
        <v>15</v>
      </c>
      <c r="D614" t="s">
        <v>16</v>
      </c>
      <c r="E614" t="s">
        <v>12</v>
      </c>
      <c r="F614">
        <v>3</v>
      </c>
      <c r="G614" t="s">
        <v>13</v>
      </c>
      <c r="H614" s="2">
        <v>46134</v>
      </c>
      <c r="I614" s="2">
        <v>46134</v>
      </c>
      <c r="J614">
        <v>0</v>
      </c>
      <c r="K614" t="s">
        <v>1344</v>
      </c>
    </row>
    <row r="615" spans="1:11" x14ac:dyDescent="0.35">
      <c r="A615" t="s">
        <v>641</v>
      </c>
      <c r="B615" s="2">
        <v>46173</v>
      </c>
      <c r="C615" t="s">
        <v>34</v>
      </c>
      <c r="D615" t="s">
        <v>35</v>
      </c>
      <c r="E615" t="s">
        <v>46</v>
      </c>
      <c r="F615">
        <v>8</v>
      </c>
      <c r="G615" t="s">
        <v>13</v>
      </c>
      <c r="H615" s="2">
        <v>46174</v>
      </c>
      <c r="I615" s="2">
        <v>46173</v>
      </c>
      <c r="J615">
        <v>-1</v>
      </c>
      <c r="K615" t="s">
        <v>1344</v>
      </c>
    </row>
    <row r="616" spans="1:11" x14ac:dyDescent="0.35">
      <c r="A616" t="s">
        <v>642</v>
      </c>
      <c r="B616" s="2">
        <v>46166</v>
      </c>
      <c r="C616" t="s">
        <v>15</v>
      </c>
      <c r="D616" t="s">
        <v>16</v>
      </c>
      <c r="E616" t="s">
        <v>32</v>
      </c>
      <c r="F616">
        <v>3</v>
      </c>
      <c r="G616" t="s">
        <v>13</v>
      </c>
      <c r="H616" s="2">
        <v>46168</v>
      </c>
      <c r="I616" s="2">
        <v>46168</v>
      </c>
      <c r="J616">
        <v>0</v>
      </c>
      <c r="K616" t="s">
        <v>1344</v>
      </c>
    </row>
    <row r="617" spans="1:11" x14ac:dyDescent="0.35">
      <c r="A617" t="s">
        <v>643</v>
      </c>
      <c r="B617" s="2">
        <v>46151</v>
      </c>
      <c r="C617" t="s">
        <v>34</v>
      </c>
      <c r="D617" t="s">
        <v>35</v>
      </c>
      <c r="E617" t="s">
        <v>17</v>
      </c>
      <c r="F617">
        <v>14</v>
      </c>
      <c r="G617" t="s">
        <v>13</v>
      </c>
      <c r="H617" s="2">
        <v>46155</v>
      </c>
      <c r="I617" s="2">
        <v>46154</v>
      </c>
      <c r="J617">
        <v>-1</v>
      </c>
      <c r="K617" t="s">
        <v>1344</v>
      </c>
    </row>
    <row r="618" spans="1:11" x14ac:dyDescent="0.35">
      <c r="A618" t="s">
        <v>644</v>
      </c>
      <c r="B618" s="2">
        <v>46203</v>
      </c>
      <c r="C618" t="s">
        <v>15</v>
      </c>
      <c r="D618" t="s">
        <v>16</v>
      </c>
      <c r="E618" t="s">
        <v>24</v>
      </c>
      <c r="F618">
        <v>28</v>
      </c>
      <c r="G618" t="s">
        <v>13</v>
      </c>
      <c r="H618" s="2">
        <v>46207</v>
      </c>
      <c r="I618" s="2">
        <v>46206</v>
      </c>
      <c r="J618">
        <v>-1</v>
      </c>
      <c r="K618" t="s">
        <v>1344</v>
      </c>
    </row>
    <row r="619" spans="1:11" x14ac:dyDescent="0.35">
      <c r="A619" t="s">
        <v>645</v>
      </c>
      <c r="B619" s="2">
        <v>46186</v>
      </c>
      <c r="C619" t="s">
        <v>19</v>
      </c>
      <c r="D619" t="s">
        <v>20</v>
      </c>
      <c r="E619" t="s">
        <v>55</v>
      </c>
      <c r="F619">
        <v>13</v>
      </c>
      <c r="G619" t="s">
        <v>13</v>
      </c>
      <c r="H619" s="2">
        <v>46189</v>
      </c>
      <c r="I619" s="2">
        <v>46189</v>
      </c>
      <c r="J619">
        <v>0</v>
      </c>
      <c r="K619" t="s">
        <v>1344</v>
      </c>
    </row>
    <row r="620" spans="1:11" x14ac:dyDescent="0.35">
      <c r="A620" t="s">
        <v>646</v>
      </c>
      <c r="B620" s="2">
        <v>46202</v>
      </c>
      <c r="C620" t="s">
        <v>15</v>
      </c>
      <c r="D620" t="s">
        <v>16</v>
      </c>
      <c r="E620" t="s">
        <v>55</v>
      </c>
      <c r="F620">
        <v>13</v>
      </c>
      <c r="G620" t="s">
        <v>13</v>
      </c>
      <c r="H620" s="2">
        <v>46206</v>
      </c>
      <c r="I620" s="2">
        <v>46205</v>
      </c>
      <c r="J620">
        <v>-1</v>
      </c>
      <c r="K620" t="s">
        <v>1344</v>
      </c>
    </row>
    <row r="621" spans="1:11" x14ac:dyDescent="0.35">
      <c r="A621" t="s">
        <v>647</v>
      </c>
      <c r="B621" s="2">
        <v>46131</v>
      </c>
      <c r="C621" t="s">
        <v>19</v>
      </c>
      <c r="D621" t="s">
        <v>20</v>
      </c>
      <c r="E621" t="s">
        <v>24</v>
      </c>
      <c r="F621">
        <v>2</v>
      </c>
      <c r="G621" t="s">
        <v>26</v>
      </c>
      <c r="H621" s="2">
        <v>46134</v>
      </c>
      <c r="I621" s="2"/>
      <c r="K621" t="s">
        <v>26</v>
      </c>
    </row>
    <row r="622" spans="1:11" x14ac:dyDescent="0.35">
      <c r="A622" t="s">
        <v>648</v>
      </c>
      <c r="B622" s="2">
        <v>46151</v>
      </c>
      <c r="C622" t="s">
        <v>34</v>
      </c>
      <c r="D622" t="s">
        <v>35</v>
      </c>
      <c r="E622" t="s">
        <v>32</v>
      </c>
      <c r="F622">
        <v>13</v>
      </c>
      <c r="G622" t="s">
        <v>13</v>
      </c>
      <c r="H622" s="2">
        <v>46154</v>
      </c>
      <c r="I622" s="2">
        <v>46154</v>
      </c>
      <c r="J622">
        <v>0</v>
      </c>
      <c r="K622" t="s">
        <v>1344</v>
      </c>
    </row>
    <row r="623" spans="1:11" x14ac:dyDescent="0.35">
      <c r="A623" t="s">
        <v>649</v>
      </c>
      <c r="B623" s="2">
        <v>46179</v>
      </c>
      <c r="C623" t="s">
        <v>19</v>
      </c>
      <c r="D623" t="s">
        <v>20</v>
      </c>
      <c r="E623" t="s">
        <v>17</v>
      </c>
      <c r="F623">
        <v>29</v>
      </c>
      <c r="G623" t="s">
        <v>13</v>
      </c>
      <c r="H623" s="2">
        <v>46181</v>
      </c>
      <c r="I623" s="2">
        <v>46181</v>
      </c>
      <c r="J623">
        <v>0</v>
      </c>
      <c r="K623" t="s">
        <v>1344</v>
      </c>
    </row>
    <row r="624" spans="1:11" x14ac:dyDescent="0.35">
      <c r="A624" t="s">
        <v>650</v>
      </c>
      <c r="B624" s="2">
        <v>46157</v>
      </c>
      <c r="C624" t="s">
        <v>10</v>
      </c>
      <c r="D624" t="s">
        <v>11</v>
      </c>
      <c r="E624" t="s">
        <v>22</v>
      </c>
      <c r="F624">
        <v>19</v>
      </c>
      <c r="G624" t="s">
        <v>13</v>
      </c>
      <c r="H624" s="2">
        <v>46159</v>
      </c>
      <c r="I624" s="2">
        <v>46159</v>
      </c>
      <c r="J624">
        <v>0</v>
      </c>
      <c r="K624" t="s">
        <v>1344</v>
      </c>
    </row>
    <row r="625" spans="1:11" x14ac:dyDescent="0.35">
      <c r="A625" t="s">
        <v>651</v>
      </c>
      <c r="B625" s="2">
        <v>46125</v>
      </c>
      <c r="C625" t="s">
        <v>10</v>
      </c>
      <c r="D625" t="s">
        <v>11</v>
      </c>
      <c r="E625" t="s">
        <v>24</v>
      </c>
      <c r="F625">
        <v>27</v>
      </c>
      <c r="G625" t="s">
        <v>26</v>
      </c>
      <c r="H625" s="2">
        <v>46126</v>
      </c>
      <c r="I625" s="2"/>
      <c r="K625" t="s">
        <v>26</v>
      </c>
    </row>
    <row r="626" spans="1:11" x14ac:dyDescent="0.35">
      <c r="A626" t="s">
        <v>652</v>
      </c>
      <c r="B626" s="2">
        <v>46170</v>
      </c>
      <c r="C626" t="s">
        <v>19</v>
      </c>
      <c r="D626" t="s">
        <v>20</v>
      </c>
      <c r="E626" t="s">
        <v>32</v>
      </c>
      <c r="F626">
        <v>6</v>
      </c>
      <c r="G626" t="s">
        <v>13</v>
      </c>
      <c r="H626" s="2">
        <v>46172</v>
      </c>
      <c r="I626" s="2">
        <v>46171</v>
      </c>
      <c r="J626">
        <v>-1</v>
      </c>
      <c r="K626" t="s">
        <v>1344</v>
      </c>
    </row>
    <row r="627" spans="1:11" x14ac:dyDescent="0.35">
      <c r="A627" t="s">
        <v>653</v>
      </c>
      <c r="B627" s="2">
        <v>46132</v>
      </c>
      <c r="C627" t="s">
        <v>34</v>
      </c>
      <c r="D627" t="s">
        <v>35</v>
      </c>
      <c r="E627" t="s">
        <v>24</v>
      </c>
      <c r="F627">
        <v>16</v>
      </c>
      <c r="G627" t="s">
        <v>13</v>
      </c>
      <c r="H627" s="2">
        <v>46134</v>
      </c>
      <c r="I627" s="2">
        <v>46133</v>
      </c>
      <c r="J627">
        <v>-1</v>
      </c>
      <c r="K627" t="s">
        <v>1344</v>
      </c>
    </row>
    <row r="628" spans="1:11" x14ac:dyDescent="0.35">
      <c r="A628" t="s">
        <v>654</v>
      </c>
      <c r="B628" s="2">
        <v>46184</v>
      </c>
      <c r="C628" t="s">
        <v>10</v>
      </c>
      <c r="D628" t="s">
        <v>11</v>
      </c>
      <c r="E628" t="s">
        <v>24</v>
      </c>
      <c r="F628">
        <v>2</v>
      </c>
      <c r="G628" t="s">
        <v>13</v>
      </c>
      <c r="H628" s="2">
        <v>46187</v>
      </c>
      <c r="I628" s="2">
        <v>46187</v>
      </c>
      <c r="J628">
        <v>0</v>
      </c>
      <c r="K628" t="s">
        <v>1344</v>
      </c>
    </row>
    <row r="629" spans="1:11" x14ac:dyDescent="0.35">
      <c r="A629" t="s">
        <v>655</v>
      </c>
      <c r="B629" s="2">
        <v>46173</v>
      </c>
      <c r="C629" t="s">
        <v>34</v>
      </c>
      <c r="D629" t="s">
        <v>35</v>
      </c>
      <c r="E629" t="s">
        <v>46</v>
      </c>
      <c r="F629">
        <v>8</v>
      </c>
      <c r="G629" t="s">
        <v>26</v>
      </c>
      <c r="H629" s="2">
        <v>46175</v>
      </c>
      <c r="I629" s="2"/>
      <c r="K629" t="s">
        <v>26</v>
      </c>
    </row>
    <row r="630" spans="1:11" x14ac:dyDescent="0.35">
      <c r="A630" t="s">
        <v>656</v>
      </c>
      <c r="B630" s="2">
        <v>46151</v>
      </c>
      <c r="C630" t="s">
        <v>10</v>
      </c>
      <c r="D630" t="s">
        <v>11</v>
      </c>
      <c r="E630" t="s">
        <v>32</v>
      </c>
      <c r="F630">
        <v>17</v>
      </c>
      <c r="G630" t="s">
        <v>62</v>
      </c>
      <c r="H630" s="2">
        <v>46154</v>
      </c>
      <c r="I630" s="2">
        <v>46157</v>
      </c>
      <c r="J630">
        <v>3</v>
      </c>
      <c r="K630" t="s">
        <v>62</v>
      </c>
    </row>
    <row r="631" spans="1:11" x14ac:dyDescent="0.35">
      <c r="A631" t="s">
        <v>657</v>
      </c>
      <c r="B631" s="2">
        <v>46113</v>
      </c>
      <c r="C631" t="s">
        <v>15</v>
      </c>
      <c r="D631" t="s">
        <v>16</v>
      </c>
      <c r="E631" t="s">
        <v>22</v>
      </c>
      <c r="F631">
        <v>23</v>
      </c>
      <c r="G631" t="s">
        <v>13</v>
      </c>
      <c r="H631" s="2">
        <v>46116</v>
      </c>
      <c r="I631" s="2">
        <v>46115</v>
      </c>
      <c r="J631">
        <v>-1</v>
      </c>
      <c r="K631" t="s">
        <v>1344</v>
      </c>
    </row>
    <row r="632" spans="1:11" x14ac:dyDescent="0.35">
      <c r="A632" t="s">
        <v>658</v>
      </c>
      <c r="B632" s="2">
        <v>46115</v>
      </c>
      <c r="C632" t="s">
        <v>34</v>
      </c>
      <c r="D632" t="s">
        <v>35</v>
      </c>
      <c r="E632" t="s">
        <v>12</v>
      </c>
      <c r="F632">
        <v>2</v>
      </c>
      <c r="G632" t="s">
        <v>26</v>
      </c>
      <c r="H632" s="2">
        <v>46117</v>
      </c>
      <c r="I632" s="2"/>
      <c r="K632" t="s">
        <v>26</v>
      </c>
    </row>
    <row r="633" spans="1:11" x14ac:dyDescent="0.35">
      <c r="A633" t="s">
        <v>659</v>
      </c>
      <c r="B633" s="2">
        <v>46189</v>
      </c>
      <c r="C633" t="s">
        <v>10</v>
      </c>
      <c r="D633" t="s">
        <v>11</v>
      </c>
      <c r="E633" t="s">
        <v>46</v>
      </c>
      <c r="F633">
        <v>10</v>
      </c>
      <c r="G633" t="s">
        <v>62</v>
      </c>
      <c r="H633" s="2">
        <v>46190</v>
      </c>
      <c r="I633" s="2">
        <v>46192</v>
      </c>
      <c r="J633">
        <v>2</v>
      </c>
      <c r="K633" t="s">
        <v>62</v>
      </c>
    </row>
    <row r="634" spans="1:11" x14ac:dyDescent="0.35">
      <c r="A634" t="s">
        <v>660</v>
      </c>
      <c r="B634" s="2">
        <v>46174</v>
      </c>
      <c r="C634" t="s">
        <v>10</v>
      </c>
      <c r="D634" t="s">
        <v>11</v>
      </c>
      <c r="E634" t="s">
        <v>24</v>
      </c>
      <c r="F634">
        <v>28</v>
      </c>
      <c r="G634" t="s">
        <v>62</v>
      </c>
      <c r="H634" s="2">
        <v>46175</v>
      </c>
      <c r="I634" s="2">
        <v>46179</v>
      </c>
      <c r="J634">
        <v>4</v>
      </c>
      <c r="K634" t="s">
        <v>62</v>
      </c>
    </row>
    <row r="635" spans="1:11" x14ac:dyDescent="0.35">
      <c r="A635" t="s">
        <v>661</v>
      </c>
      <c r="B635" s="2">
        <v>46175</v>
      </c>
      <c r="C635" t="s">
        <v>19</v>
      </c>
      <c r="D635" t="s">
        <v>20</v>
      </c>
      <c r="E635" t="s">
        <v>12</v>
      </c>
      <c r="F635">
        <v>16</v>
      </c>
      <c r="G635" t="s">
        <v>13</v>
      </c>
      <c r="H635" s="2">
        <v>46179</v>
      </c>
      <c r="I635" s="2">
        <v>46179</v>
      </c>
      <c r="J635">
        <v>0</v>
      </c>
      <c r="K635" t="s">
        <v>1344</v>
      </c>
    </row>
    <row r="636" spans="1:11" x14ac:dyDescent="0.35">
      <c r="A636" t="s">
        <v>662</v>
      </c>
      <c r="B636" s="2">
        <v>46137</v>
      </c>
      <c r="C636" t="s">
        <v>10</v>
      </c>
      <c r="D636" t="s">
        <v>11</v>
      </c>
      <c r="E636" t="s">
        <v>43</v>
      </c>
      <c r="F636">
        <v>6</v>
      </c>
      <c r="G636" t="s">
        <v>13</v>
      </c>
      <c r="H636" s="2">
        <v>46141</v>
      </c>
      <c r="I636" s="2">
        <v>46141</v>
      </c>
      <c r="J636">
        <v>0</v>
      </c>
      <c r="K636" t="s">
        <v>1344</v>
      </c>
    </row>
    <row r="637" spans="1:11" x14ac:dyDescent="0.35">
      <c r="A637" t="s">
        <v>663</v>
      </c>
      <c r="B637" s="2">
        <v>46168</v>
      </c>
      <c r="C637" t="s">
        <v>19</v>
      </c>
      <c r="D637" t="s">
        <v>20</v>
      </c>
      <c r="E637" t="s">
        <v>12</v>
      </c>
      <c r="F637">
        <v>28</v>
      </c>
      <c r="G637" t="s">
        <v>13</v>
      </c>
      <c r="H637" s="2">
        <v>46170</v>
      </c>
      <c r="I637" s="2">
        <v>46170</v>
      </c>
      <c r="J637">
        <v>0</v>
      </c>
      <c r="K637" t="s">
        <v>1344</v>
      </c>
    </row>
    <row r="638" spans="1:11" x14ac:dyDescent="0.35">
      <c r="A638" t="s">
        <v>664</v>
      </c>
      <c r="B638" s="2">
        <v>46145</v>
      </c>
      <c r="C638" t="s">
        <v>15</v>
      </c>
      <c r="D638" t="s">
        <v>16</v>
      </c>
      <c r="E638" t="s">
        <v>24</v>
      </c>
      <c r="F638">
        <v>2</v>
      </c>
      <c r="G638" t="s">
        <v>26</v>
      </c>
      <c r="H638" s="2">
        <v>46146</v>
      </c>
      <c r="I638" s="2"/>
      <c r="K638" t="s">
        <v>26</v>
      </c>
    </row>
    <row r="639" spans="1:11" x14ac:dyDescent="0.35">
      <c r="A639" t="s">
        <v>665</v>
      </c>
      <c r="B639" s="2">
        <v>46150</v>
      </c>
      <c r="C639" t="s">
        <v>34</v>
      </c>
      <c r="D639" t="s">
        <v>35</v>
      </c>
      <c r="E639" t="s">
        <v>24</v>
      </c>
      <c r="F639">
        <v>2</v>
      </c>
      <c r="G639" t="s">
        <v>13</v>
      </c>
      <c r="H639" s="2">
        <v>46153</v>
      </c>
      <c r="I639" s="2">
        <v>46153</v>
      </c>
      <c r="J639">
        <v>0</v>
      </c>
      <c r="K639" t="s">
        <v>1344</v>
      </c>
    </row>
    <row r="640" spans="1:11" x14ac:dyDescent="0.35">
      <c r="A640" t="s">
        <v>666</v>
      </c>
      <c r="B640" s="2">
        <v>46118</v>
      </c>
      <c r="C640" t="s">
        <v>34</v>
      </c>
      <c r="D640" t="s">
        <v>35</v>
      </c>
      <c r="E640" t="s">
        <v>17</v>
      </c>
      <c r="F640">
        <v>26</v>
      </c>
      <c r="G640" t="s">
        <v>13</v>
      </c>
      <c r="H640" s="2">
        <v>46122</v>
      </c>
      <c r="I640" s="2">
        <v>46122</v>
      </c>
      <c r="J640">
        <v>0</v>
      </c>
      <c r="K640" t="s">
        <v>1344</v>
      </c>
    </row>
    <row r="641" spans="1:11" x14ac:dyDescent="0.35">
      <c r="A641" t="s">
        <v>667</v>
      </c>
      <c r="B641" s="2">
        <v>46170</v>
      </c>
      <c r="C641" t="s">
        <v>34</v>
      </c>
      <c r="D641" t="s">
        <v>35</v>
      </c>
      <c r="E641" t="s">
        <v>32</v>
      </c>
      <c r="F641">
        <v>13</v>
      </c>
      <c r="G641" t="s">
        <v>13</v>
      </c>
      <c r="H641" s="2">
        <v>46173</v>
      </c>
      <c r="I641" s="2">
        <v>46172</v>
      </c>
      <c r="J641">
        <v>-1</v>
      </c>
      <c r="K641" t="s">
        <v>1344</v>
      </c>
    </row>
    <row r="642" spans="1:11" x14ac:dyDescent="0.35">
      <c r="A642" t="s">
        <v>668</v>
      </c>
      <c r="B642" s="2">
        <v>46156</v>
      </c>
      <c r="C642" t="s">
        <v>19</v>
      </c>
      <c r="D642" t="s">
        <v>20</v>
      </c>
      <c r="E642" t="s">
        <v>32</v>
      </c>
      <c r="F642">
        <v>24</v>
      </c>
      <c r="G642" t="s">
        <v>26</v>
      </c>
      <c r="H642" s="2">
        <v>46160</v>
      </c>
      <c r="I642" s="2"/>
      <c r="K642" t="s">
        <v>26</v>
      </c>
    </row>
    <row r="643" spans="1:11" x14ac:dyDescent="0.35">
      <c r="A643" t="s">
        <v>669</v>
      </c>
      <c r="B643" s="2">
        <v>46157</v>
      </c>
      <c r="C643" t="s">
        <v>15</v>
      </c>
      <c r="D643" t="s">
        <v>16</v>
      </c>
      <c r="E643" t="s">
        <v>46</v>
      </c>
      <c r="F643">
        <v>15</v>
      </c>
      <c r="G643" t="s">
        <v>26</v>
      </c>
      <c r="H643" s="2">
        <v>46159</v>
      </c>
      <c r="I643" s="2"/>
      <c r="K643" t="s">
        <v>26</v>
      </c>
    </row>
    <row r="644" spans="1:11" x14ac:dyDescent="0.35">
      <c r="A644" t="s">
        <v>670</v>
      </c>
      <c r="B644" s="2">
        <v>46144</v>
      </c>
      <c r="C644" t="s">
        <v>19</v>
      </c>
      <c r="D644" t="s">
        <v>20</v>
      </c>
      <c r="E644" t="s">
        <v>22</v>
      </c>
      <c r="F644">
        <v>28</v>
      </c>
      <c r="G644" t="s">
        <v>13</v>
      </c>
      <c r="H644" s="2">
        <v>46145</v>
      </c>
      <c r="I644" s="2">
        <v>46145</v>
      </c>
      <c r="J644">
        <v>0</v>
      </c>
      <c r="K644" t="s">
        <v>1344</v>
      </c>
    </row>
    <row r="645" spans="1:11" x14ac:dyDescent="0.35">
      <c r="A645" t="s">
        <v>671</v>
      </c>
      <c r="B645" s="2">
        <v>46157</v>
      </c>
      <c r="C645" t="s">
        <v>34</v>
      </c>
      <c r="D645" t="s">
        <v>35</v>
      </c>
      <c r="E645" t="s">
        <v>46</v>
      </c>
      <c r="F645">
        <v>2</v>
      </c>
      <c r="G645" t="s">
        <v>26</v>
      </c>
      <c r="H645" s="2">
        <v>46161</v>
      </c>
      <c r="I645" s="2"/>
      <c r="K645" t="s">
        <v>26</v>
      </c>
    </row>
    <row r="646" spans="1:11" x14ac:dyDescent="0.35">
      <c r="A646" t="s">
        <v>672</v>
      </c>
      <c r="B646" s="2">
        <v>46173</v>
      </c>
      <c r="C646" t="s">
        <v>10</v>
      </c>
      <c r="D646" t="s">
        <v>11</v>
      </c>
      <c r="E646" t="s">
        <v>55</v>
      </c>
      <c r="F646">
        <v>7</v>
      </c>
      <c r="G646" t="s">
        <v>13</v>
      </c>
      <c r="H646" s="2">
        <v>46174</v>
      </c>
      <c r="I646" s="2">
        <v>46173</v>
      </c>
      <c r="J646">
        <v>-1</v>
      </c>
      <c r="K646" t="s">
        <v>1344</v>
      </c>
    </row>
    <row r="647" spans="1:11" x14ac:dyDescent="0.35">
      <c r="A647" t="s">
        <v>673</v>
      </c>
      <c r="B647" s="2">
        <v>46159</v>
      </c>
      <c r="C647" t="s">
        <v>10</v>
      </c>
      <c r="D647" t="s">
        <v>11</v>
      </c>
      <c r="E647" t="s">
        <v>24</v>
      </c>
      <c r="F647">
        <v>3</v>
      </c>
      <c r="G647" t="s">
        <v>26</v>
      </c>
      <c r="H647" s="2">
        <v>46162</v>
      </c>
      <c r="I647" s="2"/>
      <c r="K647" t="s">
        <v>26</v>
      </c>
    </row>
    <row r="648" spans="1:11" x14ac:dyDescent="0.35">
      <c r="A648" t="s">
        <v>674</v>
      </c>
      <c r="B648" s="2">
        <v>46133</v>
      </c>
      <c r="C648" t="s">
        <v>34</v>
      </c>
      <c r="D648" t="s">
        <v>35</v>
      </c>
      <c r="E648" t="s">
        <v>12</v>
      </c>
      <c r="F648">
        <v>8</v>
      </c>
      <c r="G648" t="s">
        <v>13</v>
      </c>
      <c r="H648" s="2">
        <v>46135</v>
      </c>
      <c r="I648" s="2">
        <v>46134</v>
      </c>
      <c r="J648">
        <v>-1</v>
      </c>
      <c r="K648" t="s">
        <v>1344</v>
      </c>
    </row>
    <row r="649" spans="1:11" x14ac:dyDescent="0.35">
      <c r="A649" t="s">
        <v>675</v>
      </c>
      <c r="B649" s="2">
        <v>46192</v>
      </c>
      <c r="C649" t="s">
        <v>34</v>
      </c>
      <c r="D649" t="s">
        <v>35</v>
      </c>
      <c r="E649" t="s">
        <v>43</v>
      </c>
      <c r="F649">
        <v>23</v>
      </c>
      <c r="G649" t="s">
        <v>13</v>
      </c>
      <c r="H649" s="2">
        <v>46193</v>
      </c>
      <c r="I649" s="2">
        <v>46193</v>
      </c>
      <c r="J649">
        <v>0</v>
      </c>
      <c r="K649" t="s">
        <v>1344</v>
      </c>
    </row>
    <row r="650" spans="1:11" x14ac:dyDescent="0.35">
      <c r="A650" t="s">
        <v>676</v>
      </c>
      <c r="B650" s="2">
        <v>46197</v>
      </c>
      <c r="C650" t="s">
        <v>34</v>
      </c>
      <c r="D650" t="s">
        <v>35</v>
      </c>
      <c r="E650" t="s">
        <v>24</v>
      </c>
      <c r="F650">
        <v>14</v>
      </c>
      <c r="G650" t="s">
        <v>62</v>
      </c>
      <c r="H650" s="2">
        <v>46199</v>
      </c>
      <c r="I650" s="2">
        <v>46203</v>
      </c>
      <c r="J650">
        <v>4</v>
      </c>
      <c r="K650" t="s">
        <v>62</v>
      </c>
    </row>
    <row r="651" spans="1:11" x14ac:dyDescent="0.35">
      <c r="A651" t="s">
        <v>677</v>
      </c>
      <c r="B651" s="2">
        <v>46187</v>
      </c>
      <c r="C651" t="s">
        <v>15</v>
      </c>
      <c r="D651" t="s">
        <v>16</v>
      </c>
      <c r="E651" t="s">
        <v>24</v>
      </c>
      <c r="F651">
        <v>24</v>
      </c>
      <c r="G651" t="s">
        <v>13</v>
      </c>
      <c r="H651" s="2">
        <v>46188</v>
      </c>
      <c r="I651" s="2">
        <v>46188</v>
      </c>
      <c r="J651">
        <v>0</v>
      </c>
      <c r="K651" t="s">
        <v>1344</v>
      </c>
    </row>
    <row r="652" spans="1:11" x14ac:dyDescent="0.35">
      <c r="A652" t="s">
        <v>678</v>
      </c>
      <c r="B652" s="2">
        <v>46148</v>
      </c>
      <c r="C652" t="s">
        <v>34</v>
      </c>
      <c r="D652" t="s">
        <v>35</v>
      </c>
      <c r="E652" t="s">
        <v>46</v>
      </c>
      <c r="F652">
        <v>30</v>
      </c>
      <c r="G652" t="s">
        <v>26</v>
      </c>
      <c r="H652" s="2">
        <v>46151</v>
      </c>
      <c r="I652" s="2"/>
      <c r="K652" t="s">
        <v>26</v>
      </c>
    </row>
    <row r="653" spans="1:11" x14ac:dyDescent="0.35">
      <c r="A653" t="s">
        <v>679</v>
      </c>
      <c r="B653" s="2">
        <v>46131</v>
      </c>
      <c r="C653" t="s">
        <v>15</v>
      </c>
      <c r="D653" t="s">
        <v>16</v>
      </c>
      <c r="E653" t="s">
        <v>43</v>
      </c>
      <c r="F653">
        <v>23</v>
      </c>
      <c r="G653" t="s">
        <v>13</v>
      </c>
      <c r="H653" s="2">
        <v>46134</v>
      </c>
      <c r="I653" s="2">
        <v>46133</v>
      </c>
      <c r="J653">
        <v>-1</v>
      </c>
      <c r="K653" t="s">
        <v>1344</v>
      </c>
    </row>
    <row r="654" spans="1:11" x14ac:dyDescent="0.35">
      <c r="A654" t="s">
        <v>680</v>
      </c>
      <c r="B654" s="2">
        <v>46132</v>
      </c>
      <c r="C654" t="s">
        <v>34</v>
      </c>
      <c r="D654" t="s">
        <v>35</v>
      </c>
      <c r="E654" t="s">
        <v>43</v>
      </c>
      <c r="F654">
        <v>27</v>
      </c>
      <c r="G654" t="s">
        <v>13</v>
      </c>
      <c r="H654" s="2">
        <v>46134</v>
      </c>
      <c r="I654" s="2">
        <v>46134</v>
      </c>
      <c r="J654">
        <v>0</v>
      </c>
      <c r="K654" t="s">
        <v>1344</v>
      </c>
    </row>
    <row r="655" spans="1:11" x14ac:dyDescent="0.35">
      <c r="A655" t="s">
        <v>681</v>
      </c>
      <c r="B655" s="2">
        <v>46169</v>
      </c>
      <c r="C655" t="s">
        <v>10</v>
      </c>
      <c r="D655" t="s">
        <v>11</v>
      </c>
      <c r="E655" t="s">
        <v>43</v>
      </c>
      <c r="F655">
        <v>22</v>
      </c>
      <c r="G655" t="s">
        <v>13</v>
      </c>
      <c r="H655" s="2">
        <v>46172</v>
      </c>
      <c r="I655" s="2">
        <v>46172</v>
      </c>
      <c r="J655">
        <v>0</v>
      </c>
      <c r="K655" t="s">
        <v>1344</v>
      </c>
    </row>
    <row r="656" spans="1:11" x14ac:dyDescent="0.35">
      <c r="A656" t="s">
        <v>682</v>
      </c>
      <c r="B656" s="2">
        <v>46130</v>
      </c>
      <c r="C656" t="s">
        <v>10</v>
      </c>
      <c r="D656" t="s">
        <v>11</v>
      </c>
      <c r="E656" t="s">
        <v>46</v>
      </c>
      <c r="F656">
        <v>29</v>
      </c>
      <c r="G656" t="s">
        <v>13</v>
      </c>
      <c r="H656" s="2">
        <v>46134</v>
      </c>
      <c r="I656" s="2">
        <v>46133</v>
      </c>
      <c r="J656">
        <v>-1</v>
      </c>
      <c r="K656" t="s">
        <v>1344</v>
      </c>
    </row>
    <row r="657" spans="1:11" x14ac:dyDescent="0.35">
      <c r="A657" t="s">
        <v>683</v>
      </c>
      <c r="B657" s="2">
        <v>46159</v>
      </c>
      <c r="C657" t="s">
        <v>10</v>
      </c>
      <c r="D657" t="s">
        <v>11</v>
      </c>
      <c r="E657" t="s">
        <v>24</v>
      </c>
      <c r="F657">
        <v>7</v>
      </c>
      <c r="G657" t="s">
        <v>13</v>
      </c>
      <c r="H657" s="2">
        <v>46160</v>
      </c>
      <c r="I657" s="2">
        <v>46160</v>
      </c>
      <c r="J657">
        <v>0</v>
      </c>
      <c r="K657" t="s">
        <v>1344</v>
      </c>
    </row>
    <row r="658" spans="1:11" x14ac:dyDescent="0.35">
      <c r="A658" t="s">
        <v>684</v>
      </c>
      <c r="B658" s="2">
        <v>46161</v>
      </c>
      <c r="C658" t="s">
        <v>15</v>
      </c>
      <c r="D658" t="s">
        <v>16</v>
      </c>
      <c r="E658" t="s">
        <v>46</v>
      </c>
      <c r="F658">
        <v>21</v>
      </c>
      <c r="G658" t="s">
        <v>13</v>
      </c>
      <c r="H658" s="2">
        <v>46164</v>
      </c>
      <c r="I658" s="2">
        <v>46163</v>
      </c>
      <c r="J658">
        <v>-1</v>
      </c>
      <c r="K658" t="s">
        <v>1344</v>
      </c>
    </row>
    <row r="659" spans="1:11" x14ac:dyDescent="0.35">
      <c r="A659" t="s">
        <v>685</v>
      </c>
      <c r="B659" s="2">
        <v>46126</v>
      </c>
      <c r="C659" t="s">
        <v>10</v>
      </c>
      <c r="D659" t="s">
        <v>11</v>
      </c>
      <c r="E659" t="s">
        <v>32</v>
      </c>
      <c r="F659">
        <v>7</v>
      </c>
      <c r="G659" t="s">
        <v>13</v>
      </c>
      <c r="H659" s="2">
        <v>46130</v>
      </c>
      <c r="I659" s="2">
        <v>46130</v>
      </c>
      <c r="J659">
        <v>0</v>
      </c>
      <c r="K659" t="s">
        <v>1344</v>
      </c>
    </row>
    <row r="660" spans="1:11" x14ac:dyDescent="0.35">
      <c r="A660" t="s">
        <v>686</v>
      </c>
      <c r="B660" s="2">
        <v>46127</v>
      </c>
      <c r="C660" t="s">
        <v>34</v>
      </c>
      <c r="D660" t="s">
        <v>35</v>
      </c>
      <c r="E660" t="s">
        <v>32</v>
      </c>
      <c r="F660">
        <v>1</v>
      </c>
      <c r="G660" t="s">
        <v>13</v>
      </c>
      <c r="H660" s="2">
        <v>46129</v>
      </c>
      <c r="I660" s="2">
        <v>46129</v>
      </c>
      <c r="J660">
        <v>0</v>
      </c>
      <c r="K660" t="s">
        <v>1344</v>
      </c>
    </row>
    <row r="661" spans="1:11" x14ac:dyDescent="0.35">
      <c r="A661" t="s">
        <v>687</v>
      </c>
      <c r="B661" s="2">
        <v>46143</v>
      </c>
      <c r="C661" t="s">
        <v>34</v>
      </c>
      <c r="D661" t="s">
        <v>35</v>
      </c>
      <c r="E661" t="s">
        <v>46</v>
      </c>
      <c r="F661">
        <v>17</v>
      </c>
      <c r="G661" t="s">
        <v>62</v>
      </c>
      <c r="H661" s="2">
        <v>46147</v>
      </c>
      <c r="I661" s="2">
        <v>46148</v>
      </c>
      <c r="J661">
        <v>1</v>
      </c>
      <c r="K661" t="s">
        <v>62</v>
      </c>
    </row>
    <row r="662" spans="1:11" x14ac:dyDescent="0.35">
      <c r="A662" t="s">
        <v>688</v>
      </c>
      <c r="B662" s="2">
        <v>46113</v>
      </c>
      <c r="C662" t="s">
        <v>19</v>
      </c>
      <c r="D662" t="s">
        <v>20</v>
      </c>
      <c r="E662" t="s">
        <v>43</v>
      </c>
      <c r="F662">
        <v>9</v>
      </c>
      <c r="G662" t="s">
        <v>62</v>
      </c>
      <c r="H662" s="2">
        <v>46115</v>
      </c>
      <c r="I662" s="2">
        <v>46119</v>
      </c>
      <c r="J662">
        <v>4</v>
      </c>
      <c r="K662" t="s">
        <v>62</v>
      </c>
    </row>
    <row r="663" spans="1:11" x14ac:dyDescent="0.35">
      <c r="A663" t="s">
        <v>689</v>
      </c>
      <c r="B663" s="2">
        <v>46166</v>
      </c>
      <c r="C663" t="s">
        <v>15</v>
      </c>
      <c r="D663" t="s">
        <v>16</v>
      </c>
      <c r="E663" t="s">
        <v>17</v>
      </c>
      <c r="F663">
        <v>30</v>
      </c>
      <c r="G663" t="s">
        <v>13</v>
      </c>
      <c r="H663" s="2">
        <v>46168</v>
      </c>
      <c r="I663" s="2">
        <v>46167</v>
      </c>
      <c r="J663">
        <v>-1</v>
      </c>
      <c r="K663" t="s">
        <v>1344</v>
      </c>
    </row>
    <row r="664" spans="1:11" x14ac:dyDescent="0.35">
      <c r="A664" t="s">
        <v>690</v>
      </c>
      <c r="B664" s="2">
        <v>46115</v>
      </c>
      <c r="C664" t="s">
        <v>10</v>
      </c>
      <c r="D664" t="s">
        <v>11</v>
      </c>
      <c r="E664" t="s">
        <v>24</v>
      </c>
      <c r="F664">
        <v>21</v>
      </c>
      <c r="G664" t="s">
        <v>26</v>
      </c>
      <c r="H664" s="2">
        <v>46116</v>
      </c>
      <c r="I664" s="2"/>
      <c r="K664" t="s">
        <v>26</v>
      </c>
    </row>
    <row r="665" spans="1:11" x14ac:dyDescent="0.35">
      <c r="A665" t="s">
        <v>691</v>
      </c>
      <c r="B665" s="2">
        <v>46128</v>
      </c>
      <c r="C665" t="s">
        <v>10</v>
      </c>
      <c r="D665" t="s">
        <v>11</v>
      </c>
      <c r="E665" t="s">
        <v>46</v>
      </c>
      <c r="F665">
        <v>13</v>
      </c>
      <c r="G665" t="s">
        <v>13</v>
      </c>
      <c r="H665" s="2">
        <v>46129</v>
      </c>
      <c r="I665" s="2">
        <v>46129</v>
      </c>
      <c r="J665">
        <v>0</v>
      </c>
      <c r="K665" t="s">
        <v>1344</v>
      </c>
    </row>
    <row r="666" spans="1:11" x14ac:dyDescent="0.35">
      <c r="A666" t="s">
        <v>692</v>
      </c>
      <c r="B666" s="2">
        <v>46199</v>
      </c>
      <c r="C666" t="s">
        <v>34</v>
      </c>
      <c r="D666" t="s">
        <v>35</v>
      </c>
      <c r="E666" t="s">
        <v>46</v>
      </c>
      <c r="F666">
        <v>21</v>
      </c>
      <c r="G666" t="s">
        <v>13</v>
      </c>
      <c r="H666" s="2">
        <v>46203</v>
      </c>
      <c r="I666" s="2">
        <v>46202</v>
      </c>
      <c r="J666">
        <v>-1</v>
      </c>
      <c r="K666" t="s">
        <v>1344</v>
      </c>
    </row>
    <row r="667" spans="1:11" x14ac:dyDescent="0.35">
      <c r="A667" t="s">
        <v>693</v>
      </c>
      <c r="B667" s="2">
        <v>46169</v>
      </c>
      <c r="C667" t="s">
        <v>15</v>
      </c>
      <c r="D667" t="s">
        <v>16</v>
      </c>
      <c r="E667" t="s">
        <v>46</v>
      </c>
      <c r="F667">
        <v>19</v>
      </c>
      <c r="G667" t="s">
        <v>26</v>
      </c>
      <c r="H667" s="2">
        <v>46170</v>
      </c>
      <c r="I667" s="2"/>
      <c r="K667" t="s">
        <v>26</v>
      </c>
    </row>
    <row r="668" spans="1:11" x14ac:dyDescent="0.35">
      <c r="A668" t="s">
        <v>694</v>
      </c>
      <c r="B668" s="2">
        <v>46187</v>
      </c>
      <c r="C668" t="s">
        <v>15</v>
      </c>
      <c r="D668" t="s">
        <v>16</v>
      </c>
      <c r="E668" t="s">
        <v>17</v>
      </c>
      <c r="F668">
        <v>21</v>
      </c>
      <c r="G668" t="s">
        <v>62</v>
      </c>
      <c r="H668" s="2">
        <v>46188</v>
      </c>
      <c r="I668" s="2">
        <v>46189</v>
      </c>
      <c r="J668">
        <v>1</v>
      </c>
      <c r="K668" t="s">
        <v>62</v>
      </c>
    </row>
    <row r="669" spans="1:11" x14ac:dyDescent="0.35">
      <c r="A669" t="s">
        <v>695</v>
      </c>
      <c r="B669" s="2">
        <v>46124</v>
      </c>
      <c r="C669" t="s">
        <v>19</v>
      </c>
      <c r="D669" t="s">
        <v>20</v>
      </c>
      <c r="E669" t="s">
        <v>17</v>
      </c>
      <c r="F669">
        <v>19</v>
      </c>
      <c r="G669" t="s">
        <v>13</v>
      </c>
      <c r="H669" s="2">
        <v>46125</v>
      </c>
      <c r="I669" s="2">
        <v>46124</v>
      </c>
      <c r="J669">
        <v>-1</v>
      </c>
      <c r="K669" t="s">
        <v>1344</v>
      </c>
    </row>
    <row r="670" spans="1:11" x14ac:dyDescent="0.35">
      <c r="A670" t="s">
        <v>696</v>
      </c>
      <c r="B670" s="2">
        <v>46186</v>
      </c>
      <c r="C670" t="s">
        <v>34</v>
      </c>
      <c r="D670" t="s">
        <v>35</v>
      </c>
      <c r="E670" t="s">
        <v>55</v>
      </c>
      <c r="F670">
        <v>25</v>
      </c>
      <c r="G670" t="s">
        <v>26</v>
      </c>
      <c r="H670" s="2">
        <v>46190</v>
      </c>
      <c r="I670" s="2"/>
      <c r="K670" t="s">
        <v>26</v>
      </c>
    </row>
    <row r="671" spans="1:11" x14ac:dyDescent="0.35">
      <c r="A671" t="s">
        <v>697</v>
      </c>
      <c r="B671" s="2">
        <v>46128</v>
      </c>
      <c r="C671" t="s">
        <v>34</v>
      </c>
      <c r="D671" t="s">
        <v>35</v>
      </c>
      <c r="E671" t="s">
        <v>32</v>
      </c>
      <c r="F671">
        <v>25</v>
      </c>
      <c r="G671" t="s">
        <v>13</v>
      </c>
      <c r="H671" s="2">
        <v>46131</v>
      </c>
      <c r="I671" s="2">
        <v>46130</v>
      </c>
      <c r="J671">
        <v>-1</v>
      </c>
      <c r="K671" t="s">
        <v>1344</v>
      </c>
    </row>
    <row r="672" spans="1:11" x14ac:dyDescent="0.35">
      <c r="A672" t="s">
        <v>698</v>
      </c>
      <c r="B672" s="2">
        <v>46184</v>
      </c>
      <c r="C672" t="s">
        <v>34</v>
      </c>
      <c r="D672" t="s">
        <v>35</v>
      </c>
      <c r="E672" t="s">
        <v>12</v>
      </c>
      <c r="F672">
        <v>22</v>
      </c>
      <c r="G672" t="s">
        <v>62</v>
      </c>
      <c r="H672" s="2">
        <v>46185</v>
      </c>
      <c r="I672" s="2">
        <v>46186</v>
      </c>
      <c r="J672">
        <v>1</v>
      </c>
      <c r="K672" t="s">
        <v>62</v>
      </c>
    </row>
    <row r="673" spans="1:11" x14ac:dyDescent="0.35">
      <c r="A673" t="s">
        <v>699</v>
      </c>
      <c r="B673" s="2">
        <v>46188</v>
      </c>
      <c r="C673" t="s">
        <v>10</v>
      </c>
      <c r="D673" t="s">
        <v>11</v>
      </c>
      <c r="E673" t="s">
        <v>43</v>
      </c>
      <c r="F673">
        <v>17</v>
      </c>
      <c r="G673" t="s">
        <v>13</v>
      </c>
      <c r="H673" s="2">
        <v>46189</v>
      </c>
      <c r="I673" s="2">
        <v>46189</v>
      </c>
      <c r="J673">
        <v>0</v>
      </c>
      <c r="K673" t="s">
        <v>1344</v>
      </c>
    </row>
    <row r="674" spans="1:11" x14ac:dyDescent="0.35">
      <c r="A674" t="s">
        <v>700</v>
      </c>
      <c r="B674" s="2">
        <v>46136</v>
      </c>
      <c r="C674" t="s">
        <v>15</v>
      </c>
      <c r="D674" t="s">
        <v>16</v>
      </c>
      <c r="E674" t="s">
        <v>22</v>
      </c>
      <c r="F674">
        <v>23</v>
      </c>
      <c r="G674" t="s">
        <v>13</v>
      </c>
      <c r="H674" s="2">
        <v>46140</v>
      </c>
      <c r="I674" s="2">
        <v>46140</v>
      </c>
      <c r="J674">
        <v>0</v>
      </c>
      <c r="K674" t="s">
        <v>1344</v>
      </c>
    </row>
    <row r="675" spans="1:11" x14ac:dyDescent="0.35">
      <c r="A675" t="s">
        <v>701</v>
      </c>
      <c r="B675" s="2">
        <v>46140</v>
      </c>
      <c r="C675" t="s">
        <v>34</v>
      </c>
      <c r="D675" t="s">
        <v>35</v>
      </c>
      <c r="E675" t="s">
        <v>17</v>
      </c>
      <c r="F675">
        <v>23</v>
      </c>
      <c r="G675" t="s">
        <v>13</v>
      </c>
      <c r="H675" s="2">
        <v>46143</v>
      </c>
      <c r="I675" s="2">
        <v>46143</v>
      </c>
      <c r="J675">
        <v>0</v>
      </c>
      <c r="K675" t="s">
        <v>1344</v>
      </c>
    </row>
    <row r="676" spans="1:11" x14ac:dyDescent="0.35">
      <c r="A676" t="s">
        <v>702</v>
      </c>
      <c r="B676" s="2">
        <v>46120</v>
      </c>
      <c r="C676" t="s">
        <v>10</v>
      </c>
      <c r="D676" t="s">
        <v>11</v>
      </c>
      <c r="E676" t="s">
        <v>12</v>
      </c>
      <c r="F676">
        <v>30</v>
      </c>
      <c r="G676" t="s">
        <v>13</v>
      </c>
      <c r="H676" s="2">
        <v>46121</v>
      </c>
      <c r="I676" s="2">
        <v>46121</v>
      </c>
      <c r="J676">
        <v>0</v>
      </c>
      <c r="K676" t="s">
        <v>1344</v>
      </c>
    </row>
    <row r="677" spans="1:11" x14ac:dyDescent="0.35">
      <c r="A677" t="s">
        <v>703</v>
      </c>
      <c r="B677" s="2">
        <v>46148</v>
      </c>
      <c r="C677" t="s">
        <v>19</v>
      </c>
      <c r="D677" t="s">
        <v>20</v>
      </c>
      <c r="E677" t="s">
        <v>17</v>
      </c>
      <c r="F677">
        <v>10</v>
      </c>
      <c r="G677" t="s">
        <v>13</v>
      </c>
      <c r="H677" s="2">
        <v>46150</v>
      </c>
      <c r="I677" s="2">
        <v>46149</v>
      </c>
      <c r="J677">
        <v>-1</v>
      </c>
      <c r="K677" t="s">
        <v>1344</v>
      </c>
    </row>
    <row r="678" spans="1:11" x14ac:dyDescent="0.35">
      <c r="A678" t="s">
        <v>704</v>
      </c>
      <c r="B678" s="2">
        <v>46202</v>
      </c>
      <c r="C678" t="s">
        <v>15</v>
      </c>
      <c r="D678" t="s">
        <v>16</v>
      </c>
      <c r="E678" t="s">
        <v>43</v>
      </c>
      <c r="F678">
        <v>10</v>
      </c>
      <c r="G678" t="s">
        <v>62</v>
      </c>
      <c r="H678" s="2">
        <v>46206</v>
      </c>
      <c r="I678" s="2">
        <v>46208</v>
      </c>
      <c r="J678">
        <v>2</v>
      </c>
      <c r="K678" t="s">
        <v>62</v>
      </c>
    </row>
    <row r="679" spans="1:11" x14ac:dyDescent="0.35">
      <c r="A679" t="s">
        <v>705</v>
      </c>
      <c r="B679" s="2">
        <v>46120</v>
      </c>
      <c r="C679" t="s">
        <v>34</v>
      </c>
      <c r="D679" t="s">
        <v>35</v>
      </c>
      <c r="E679" t="s">
        <v>22</v>
      </c>
      <c r="F679">
        <v>4</v>
      </c>
      <c r="G679" t="s">
        <v>13</v>
      </c>
      <c r="H679" s="2">
        <v>46121</v>
      </c>
      <c r="I679" s="2">
        <v>46121</v>
      </c>
      <c r="J679">
        <v>0</v>
      </c>
      <c r="K679" t="s">
        <v>1344</v>
      </c>
    </row>
    <row r="680" spans="1:11" x14ac:dyDescent="0.35">
      <c r="A680" t="s">
        <v>706</v>
      </c>
      <c r="B680" s="2">
        <v>46170</v>
      </c>
      <c r="C680" t="s">
        <v>34</v>
      </c>
      <c r="D680" t="s">
        <v>35</v>
      </c>
      <c r="E680" t="s">
        <v>55</v>
      </c>
      <c r="F680">
        <v>8</v>
      </c>
      <c r="G680" t="s">
        <v>13</v>
      </c>
      <c r="H680" s="2">
        <v>46171</v>
      </c>
      <c r="I680" s="2">
        <v>46171</v>
      </c>
      <c r="J680">
        <v>0</v>
      </c>
      <c r="K680" t="s">
        <v>1344</v>
      </c>
    </row>
    <row r="681" spans="1:11" x14ac:dyDescent="0.35">
      <c r="A681" t="s">
        <v>707</v>
      </c>
      <c r="B681" s="2">
        <v>46172</v>
      </c>
      <c r="C681" t="s">
        <v>10</v>
      </c>
      <c r="D681" t="s">
        <v>11</v>
      </c>
      <c r="E681" t="s">
        <v>46</v>
      </c>
      <c r="F681">
        <v>22</v>
      </c>
      <c r="G681" t="s">
        <v>13</v>
      </c>
      <c r="H681" s="2">
        <v>46174</v>
      </c>
      <c r="I681" s="2">
        <v>46174</v>
      </c>
      <c r="J681">
        <v>0</v>
      </c>
      <c r="K681" t="s">
        <v>1344</v>
      </c>
    </row>
    <row r="682" spans="1:11" x14ac:dyDescent="0.35">
      <c r="A682" t="s">
        <v>708</v>
      </c>
      <c r="B682" s="2">
        <v>46162</v>
      </c>
      <c r="C682" t="s">
        <v>34</v>
      </c>
      <c r="D682" t="s">
        <v>35</v>
      </c>
      <c r="E682" t="s">
        <v>55</v>
      </c>
      <c r="F682">
        <v>20</v>
      </c>
      <c r="G682" t="s">
        <v>13</v>
      </c>
      <c r="H682" s="2">
        <v>46164</v>
      </c>
      <c r="I682" s="2">
        <v>46163</v>
      </c>
      <c r="J682">
        <v>-1</v>
      </c>
      <c r="K682" t="s">
        <v>1344</v>
      </c>
    </row>
    <row r="683" spans="1:11" x14ac:dyDescent="0.35">
      <c r="A683" t="s">
        <v>709</v>
      </c>
      <c r="B683" s="2">
        <v>46140</v>
      </c>
      <c r="C683" t="s">
        <v>34</v>
      </c>
      <c r="D683" t="s">
        <v>35</v>
      </c>
      <c r="E683" t="s">
        <v>17</v>
      </c>
      <c r="F683">
        <v>20</v>
      </c>
      <c r="G683" t="s">
        <v>13</v>
      </c>
      <c r="H683" s="2">
        <v>46144</v>
      </c>
      <c r="I683" s="2">
        <v>46144</v>
      </c>
      <c r="J683">
        <v>0</v>
      </c>
      <c r="K683" t="s">
        <v>1344</v>
      </c>
    </row>
    <row r="684" spans="1:11" x14ac:dyDescent="0.35">
      <c r="A684" t="s">
        <v>710</v>
      </c>
      <c r="B684" s="2">
        <v>46153</v>
      </c>
      <c r="C684" t="s">
        <v>19</v>
      </c>
      <c r="D684" t="s">
        <v>20</v>
      </c>
      <c r="E684" t="s">
        <v>55</v>
      </c>
      <c r="F684">
        <v>18</v>
      </c>
      <c r="G684" t="s">
        <v>13</v>
      </c>
      <c r="H684" s="2">
        <v>46157</v>
      </c>
      <c r="I684" s="2">
        <v>46157</v>
      </c>
      <c r="J684">
        <v>0</v>
      </c>
      <c r="K684" t="s">
        <v>1344</v>
      </c>
    </row>
    <row r="685" spans="1:11" x14ac:dyDescent="0.35">
      <c r="A685" t="s">
        <v>711</v>
      </c>
      <c r="B685" s="2">
        <v>46176</v>
      </c>
      <c r="C685" t="s">
        <v>10</v>
      </c>
      <c r="D685" t="s">
        <v>11</v>
      </c>
      <c r="E685" t="s">
        <v>12</v>
      </c>
      <c r="F685">
        <v>14</v>
      </c>
      <c r="G685" t="s">
        <v>13</v>
      </c>
      <c r="H685" s="2">
        <v>46178</v>
      </c>
      <c r="I685" s="2">
        <v>46177</v>
      </c>
      <c r="J685">
        <v>-1</v>
      </c>
      <c r="K685" t="s">
        <v>1344</v>
      </c>
    </row>
    <row r="686" spans="1:11" x14ac:dyDescent="0.35">
      <c r="A686" t="s">
        <v>712</v>
      </c>
      <c r="B686" s="2">
        <v>46139</v>
      </c>
      <c r="C686" t="s">
        <v>34</v>
      </c>
      <c r="D686" t="s">
        <v>35</v>
      </c>
      <c r="E686" t="s">
        <v>24</v>
      </c>
      <c r="F686">
        <v>18</v>
      </c>
      <c r="G686" t="s">
        <v>13</v>
      </c>
      <c r="H686" s="2">
        <v>46143</v>
      </c>
      <c r="I686" s="2">
        <v>46142</v>
      </c>
      <c r="J686">
        <v>-1</v>
      </c>
      <c r="K686" t="s">
        <v>1344</v>
      </c>
    </row>
    <row r="687" spans="1:11" x14ac:dyDescent="0.35">
      <c r="A687" t="s">
        <v>713</v>
      </c>
      <c r="B687" s="2">
        <v>46175</v>
      </c>
      <c r="C687" t="s">
        <v>19</v>
      </c>
      <c r="D687" t="s">
        <v>20</v>
      </c>
      <c r="E687" t="s">
        <v>17</v>
      </c>
      <c r="F687">
        <v>28</v>
      </c>
      <c r="G687" t="s">
        <v>13</v>
      </c>
      <c r="H687" s="2">
        <v>46177</v>
      </c>
      <c r="I687" s="2">
        <v>46176</v>
      </c>
      <c r="J687">
        <v>-1</v>
      </c>
      <c r="K687" t="s">
        <v>1344</v>
      </c>
    </row>
    <row r="688" spans="1:11" x14ac:dyDescent="0.35">
      <c r="A688" t="s">
        <v>714</v>
      </c>
      <c r="B688" s="2">
        <v>46129</v>
      </c>
      <c r="C688" t="s">
        <v>10</v>
      </c>
      <c r="D688" t="s">
        <v>11</v>
      </c>
      <c r="E688" t="s">
        <v>17</v>
      </c>
      <c r="F688">
        <v>14</v>
      </c>
      <c r="G688" t="s">
        <v>26</v>
      </c>
      <c r="H688" s="2">
        <v>46130</v>
      </c>
      <c r="I688" s="2"/>
      <c r="K688" t="s">
        <v>26</v>
      </c>
    </row>
    <row r="689" spans="1:11" x14ac:dyDescent="0.35">
      <c r="A689" t="s">
        <v>715</v>
      </c>
      <c r="B689" s="2">
        <v>46185</v>
      </c>
      <c r="C689" t="s">
        <v>34</v>
      </c>
      <c r="D689" t="s">
        <v>35</v>
      </c>
      <c r="E689" t="s">
        <v>12</v>
      </c>
      <c r="F689">
        <v>20</v>
      </c>
      <c r="G689" t="s">
        <v>26</v>
      </c>
      <c r="H689" s="2">
        <v>46187</v>
      </c>
      <c r="I689" s="2"/>
      <c r="K689" t="s">
        <v>26</v>
      </c>
    </row>
    <row r="690" spans="1:11" x14ac:dyDescent="0.35">
      <c r="A690" t="s">
        <v>716</v>
      </c>
      <c r="B690" s="2">
        <v>46145</v>
      </c>
      <c r="C690" t="s">
        <v>15</v>
      </c>
      <c r="D690" t="s">
        <v>16</v>
      </c>
      <c r="E690" t="s">
        <v>32</v>
      </c>
      <c r="F690">
        <v>21</v>
      </c>
      <c r="G690" t="s">
        <v>13</v>
      </c>
      <c r="H690" s="2">
        <v>46147</v>
      </c>
      <c r="I690" s="2">
        <v>46146</v>
      </c>
      <c r="J690">
        <v>-1</v>
      </c>
      <c r="K690" t="s">
        <v>1344</v>
      </c>
    </row>
    <row r="691" spans="1:11" x14ac:dyDescent="0.35">
      <c r="A691" t="s">
        <v>717</v>
      </c>
      <c r="B691" s="2">
        <v>46196</v>
      </c>
      <c r="C691" t="s">
        <v>19</v>
      </c>
      <c r="D691" t="s">
        <v>20</v>
      </c>
      <c r="E691" t="s">
        <v>22</v>
      </c>
      <c r="F691">
        <v>24</v>
      </c>
      <c r="G691" t="s">
        <v>13</v>
      </c>
      <c r="H691" s="2">
        <v>46199</v>
      </c>
      <c r="I691" s="2">
        <v>46199</v>
      </c>
      <c r="J691">
        <v>0</v>
      </c>
      <c r="K691" t="s">
        <v>1344</v>
      </c>
    </row>
    <row r="692" spans="1:11" x14ac:dyDescent="0.35">
      <c r="A692" t="s">
        <v>718</v>
      </c>
      <c r="B692" s="2">
        <v>46189</v>
      </c>
      <c r="C692" t="s">
        <v>15</v>
      </c>
      <c r="D692" t="s">
        <v>16</v>
      </c>
      <c r="E692" t="s">
        <v>46</v>
      </c>
      <c r="F692">
        <v>15</v>
      </c>
      <c r="G692" t="s">
        <v>13</v>
      </c>
      <c r="H692" s="2">
        <v>46191</v>
      </c>
      <c r="I692" s="2">
        <v>46190</v>
      </c>
      <c r="J692">
        <v>-1</v>
      </c>
      <c r="K692" t="s">
        <v>1344</v>
      </c>
    </row>
    <row r="693" spans="1:11" x14ac:dyDescent="0.35">
      <c r="A693" t="s">
        <v>719</v>
      </c>
      <c r="B693" s="2">
        <v>46141</v>
      </c>
      <c r="C693" t="s">
        <v>15</v>
      </c>
      <c r="D693" t="s">
        <v>16</v>
      </c>
      <c r="E693" t="s">
        <v>12</v>
      </c>
      <c r="F693">
        <v>22</v>
      </c>
      <c r="G693" t="s">
        <v>13</v>
      </c>
      <c r="H693" s="2">
        <v>46143</v>
      </c>
      <c r="I693" s="2">
        <v>46142</v>
      </c>
      <c r="J693">
        <v>-1</v>
      </c>
      <c r="K693" t="s">
        <v>1344</v>
      </c>
    </row>
    <row r="694" spans="1:11" x14ac:dyDescent="0.35">
      <c r="A694" t="s">
        <v>720</v>
      </c>
      <c r="B694" s="2">
        <v>46125</v>
      </c>
      <c r="C694" t="s">
        <v>15</v>
      </c>
      <c r="D694" t="s">
        <v>16</v>
      </c>
      <c r="E694" t="s">
        <v>22</v>
      </c>
      <c r="F694">
        <v>30</v>
      </c>
      <c r="G694" t="s">
        <v>13</v>
      </c>
      <c r="H694" s="2">
        <v>46128</v>
      </c>
      <c r="I694" s="2">
        <v>46128</v>
      </c>
      <c r="J694">
        <v>0</v>
      </c>
      <c r="K694" t="s">
        <v>1344</v>
      </c>
    </row>
    <row r="695" spans="1:11" x14ac:dyDescent="0.35">
      <c r="A695" t="s">
        <v>721</v>
      </c>
      <c r="B695" s="2">
        <v>46158</v>
      </c>
      <c r="C695" t="s">
        <v>10</v>
      </c>
      <c r="D695" t="s">
        <v>11</v>
      </c>
      <c r="E695" t="s">
        <v>43</v>
      </c>
      <c r="F695">
        <v>4</v>
      </c>
      <c r="G695" t="s">
        <v>13</v>
      </c>
      <c r="H695" s="2">
        <v>46162</v>
      </c>
      <c r="I695" s="2">
        <v>46162</v>
      </c>
      <c r="J695">
        <v>0</v>
      </c>
      <c r="K695" t="s">
        <v>1344</v>
      </c>
    </row>
    <row r="696" spans="1:11" x14ac:dyDescent="0.35">
      <c r="A696" t="s">
        <v>722</v>
      </c>
      <c r="B696" s="2">
        <v>46147</v>
      </c>
      <c r="C696" t="s">
        <v>15</v>
      </c>
      <c r="D696" t="s">
        <v>16</v>
      </c>
      <c r="E696" t="s">
        <v>22</v>
      </c>
      <c r="F696">
        <v>13</v>
      </c>
      <c r="G696" t="s">
        <v>13</v>
      </c>
      <c r="H696" s="2">
        <v>46150</v>
      </c>
      <c r="I696" s="2">
        <v>46150</v>
      </c>
      <c r="J696">
        <v>0</v>
      </c>
      <c r="K696" t="s">
        <v>1344</v>
      </c>
    </row>
    <row r="697" spans="1:11" x14ac:dyDescent="0.35">
      <c r="A697" t="s">
        <v>723</v>
      </c>
      <c r="B697" s="2">
        <v>46118</v>
      </c>
      <c r="C697" t="s">
        <v>15</v>
      </c>
      <c r="D697" t="s">
        <v>16</v>
      </c>
      <c r="E697" t="s">
        <v>43</v>
      </c>
      <c r="F697">
        <v>27</v>
      </c>
      <c r="G697" t="s">
        <v>13</v>
      </c>
      <c r="H697" s="2">
        <v>46119</v>
      </c>
      <c r="I697" s="2">
        <v>46118</v>
      </c>
      <c r="J697">
        <v>-1</v>
      </c>
      <c r="K697" t="s">
        <v>1344</v>
      </c>
    </row>
    <row r="698" spans="1:11" x14ac:dyDescent="0.35">
      <c r="A698" t="s">
        <v>724</v>
      </c>
      <c r="B698" s="2">
        <v>46194</v>
      </c>
      <c r="C698" t="s">
        <v>15</v>
      </c>
      <c r="D698" t="s">
        <v>16</v>
      </c>
      <c r="E698" t="s">
        <v>12</v>
      </c>
      <c r="F698">
        <v>23</v>
      </c>
      <c r="G698" t="s">
        <v>13</v>
      </c>
      <c r="H698" s="2">
        <v>46197</v>
      </c>
      <c r="I698" s="2">
        <v>46197</v>
      </c>
      <c r="J698">
        <v>0</v>
      </c>
      <c r="K698" t="s">
        <v>1344</v>
      </c>
    </row>
    <row r="699" spans="1:11" x14ac:dyDescent="0.35">
      <c r="A699" t="s">
        <v>725</v>
      </c>
      <c r="B699" s="2">
        <v>46181</v>
      </c>
      <c r="C699" t="s">
        <v>15</v>
      </c>
      <c r="D699" t="s">
        <v>16</v>
      </c>
      <c r="E699" t="s">
        <v>17</v>
      </c>
      <c r="F699">
        <v>8</v>
      </c>
      <c r="G699" t="s">
        <v>26</v>
      </c>
      <c r="H699" s="2">
        <v>46182</v>
      </c>
      <c r="I699" s="2"/>
      <c r="K699" t="s">
        <v>26</v>
      </c>
    </row>
    <row r="700" spans="1:11" x14ac:dyDescent="0.35">
      <c r="A700" t="s">
        <v>726</v>
      </c>
      <c r="B700" s="2">
        <v>46159</v>
      </c>
      <c r="C700" t="s">
        <v>10</v>
      </c>
      <c r="D700" t="s">
        <v>11</v>
      </c>
      <c r="E700" t="s">
        <v>17</v>
      </c>
      <c r="F700">
        <v>18</v>
      </c>
      <c r="G700" t="s">
        <v>62</v>
      </c>
      <c r="H700" s="2">
        <v>46163</v>
      </c>
      <c r="I700" s="2">
        <v>46165</v>
      </c>
      <c r="J700">
        <v>2</v>
      </c>
      <c r="K700" t="s">
        <v>62</v>
      </c>
    </row>
    <row r="701" spans="1:11" x14ac:dyDescent="0.35">
      <c r="A701" t="s">
        <v>727</v>
      </c>
      <c r="B701" s="2">
        <v>46137</v>
      </c>
      <c r="C701" t="s">
        <v>10</v>
      </c>
      <c r="D701" t="s">
        <v>11</v>
      </c>
      <c r="E701" t="s">
        <v>32</v>
      </c>
      <c r="F701">
        <v>12</v>
      </c>
      <c r="G701" t="s">
        <v>13</v>
      </c>
      <c r="H701" s="2">
        <v>46140</v>
      </c>
      <c r="I701" s="2">
        <v>46139</v>
      </c>
      <c r="J701">
        <v>-1</v>
      </c>
      <c r="K701" t="s">
        <v>1344</v>
      </c>
    </row>
    <row r="702" spans="1:11" x14ac:dyDescent="0.35">
      <c r="A702" t="s">
        <v>728</v>
      </c>
      <c r="B702" s="2">
        <v>46178</v>
      </c>
      <c r="C702" t="s">
        <v>34</v>
      </c>
      <c r="D702" t="s">
        <v>35</v>
      </c>
      <c r="E702" t="s">
        <v>12</v>
      </c>
      <c r="F702">
        <v>23</v>
      </c>
      <c r="G702" t="s">
        <v>13</v>
      </c>
      <c r="H702" s="2">
        <v>46181</v>
      </c>
      <c r="I702" s="2">
        <v>46180</v>
      </c>
      <c r="J702">
        <v>-1</v>
      </c>
      <c r="K702" t="s">
        <v>1344</v>
      </c>
    </row>
    <row r="703" spans="1:11" x14ac:dyDescent="0.35">
      <c r="A703" t="s">
        <v>729</v>
      </c>
      <c r="B703" s="2">
        <v>46122</v>
      </c>
      <c r="C703" t="s">
        <v>34</v>
      </c>
      <c r="D703" t="s">
        <v>35</v>
      </c>
      <c r="E703" t="s">
        <v>43</v>
      </c>
      <c r="F703">
        <v>14</v>
      </c>
      <c r="G703" t="s">
        <v>26</v>
      </c>
      <c r="H703" s="2">
        <v>46126</v>
      </c>
      <c r="I703" s="2"/>
      <c r="K703" t="s">
        <v>26</v>
      </c>
    </row>
    <row r="704" spans="1:11" x14ac:dyDescent="0.35">
      <c r="A704" t="s">
        <v>730</v>
      </c>
      <c r="B704" s="2">
        <v>46168</v>
      </c>
      <c r="C704" t="s">
        <v>10</v>
      </c>
      <c r="D704" t="s">
        <v>11</v>
      </c>
      <c r="E704" t="s">
        <v>22</v>
      </c>
      <c r="F704">
        <v>2</v>
      </c>
      <c r="G704" t="s">
        <v>62</v>
      </c>
      <c r="H704" s="2">
        <v>46169</v>
      </c>
      <c r="I704" s="2">
        <v>46170</v>
      </c>
      <c r="J704">
        <v>1</v>
      </c>
      <c r="K704" t="s">
        <v>62</v>
      </c>
    </row>
    <row r="705" spans="1:11" x14ac:dyDescent="0.35">
      <c r="A705" t="s">
        <v>731</v>
      </c>
      <c r="B705" s="2">
        <v>46142</v>
      </c>
      <c r="C705" t="s">
        <v>15</v>
      </c>
      <c r="D705" t="s">
        <v>16</v>
      </c>
      <c r="E705" t="s">
        <v>22</v>
      </c>
      <c r="F705">
        <v>18</v>
      </c>
      <c r="G705" t="s">
        <v>13</v>
      </c>
      <c r="H705" s="2">
        <v>46145</v>
      </c>
      <c r="I705" s="2">
        <v>46144</v>
      </c>
      <c r="J705">
        <v>-1</v>
      </c>
      <c r="K705" t="s">
        <v>1344</v>
      </c>
    </row>
    <row r="706" spans="1:11" x14ac:dyDescent="0.35">
      <c r="A706" t="s">
        <v>732</v>
      </c>
      <c r="B706" s="2">
        <v>46117</v>
      </c>
      <c r="C706" t="s">
        <v>34</v>
      </c>
      <c r="D706" t="s">
        <v>35</v>
      </c>
      <c r="E706" t="s">
        <v>43</v>
      </c>
      <c r="F706">
        <v>24</v>
      </c>
      <c r="G706" t="s">
        <v>13</v>
      </c>
      <c r="H706" s="2">
        <v>46118</v>
      </c>
      <c r="I706" s="2">
        <v>46118</v>
      </c>
      <c r="J706">
        <v>0</v>
      </c>
      <c r="K706" t="s">
        <v>1344</v>
      </c>
    </row>
    <row r="707" spans="1:11" x14ac:dyDescent="0.35">
      <c r="A707" t="s">
        <v>733</v>
      </c>
      <c r="B707" s="2">
        <v>46145</v>
      </c>
      <c r="C707" t="s">
        <v>19</v>
      </c>
      <c r="D707" t="s">
        <v>20</v>
      </c>
      <c r="E707" t="s">
        <v>55</v>
      </c>
      <c r="F707">
        <v>2</v>
      </c>
      <c r="G707" t="s">
        <v>13</v>
      </c>
      <c r="H707" s="2">
        <v>46148</v>
      </c>
      <c r="I707" s="2">
        <v>46148</v>
      </c>
      <c r="J707">
        <v>0</v>
      </c>
      <c r="K707" t="s">
        <v>1344</v>
      </c>
    </row>
    <row r="708" spans="1:11" x14ac:dyDescent="0.35">
      <c r="A708" t="s">
        <v>734</v>
      </c>
      <c r="B708" s="2">
        <v>46177</v>
      </c>
      <c r="C708" t="s">
        <v>10</v>
      </c>
      <c r="D708" t="s">
        <v>11</v>
      </c>
      <c r="E708" t="s">
        <v>32</v>
      </c>
      <c r="F708">
        <v>11</v>
      </c>
      <c r="G708" t="s">
        <v>13</v>
      </c>
      <c r="H708" s="2">
        <v>46179</v>
      </c>
      <c r="I708" s="2">
        <v>46179</v>
      </c>
      <c r="J708">
        <v>0</v>
      </c>
      <c r="K708" t="s">
        <v>1344</v>
      </c>
    </row>
    <row r="709" spans="1:11" x14ac:dyDescent="0.35">
      <c r="A709" t="s">
        <v>735</v>
      </c>
      <c r="B709" s="2">
        <v>46130</v>
      </c>
      <c r="C709" t="s">
        <v>15</v>
      </c>
      <c r="D709" t="s">
        <v>16</v>
      </c>
      <c r="E709" t="s">
        <v>24</v>
      </c>
      <c r="F709">
        <v>9</v>
      </c>
      <c r="G709" t="s">
        <v>13</v>
      </c>
      <c r="H709" s="2">
        <v>46133</v>
      </c>
      <c r="I709" s="2">
        <v>46132</v>
      </c>
      <c r="J709">
        <v>-1</v>
      </c>
      <c r="K709" t="s">
        <v>1344</v>
      </c>
    </row>
    <row r="710" spans="1:11" x14ac:dyDescent="0.35">
      <c r="A710" t="s">
        <v>736</v>
      </c>
      <c r="B710" s="2">
        <v>46161</v>
      </c>
      <c r="C710" t="s">
        <v>34</v>
      </c>
      <c r="D710" t="s">
        <v>35</v>
      </c>
      <c r="E710" t="s">
        <v>17</v>
      </c>
      <c r="F710">
        <v>12</v>
      </c>
      <c r="G710" t="s">
        <v>13</v>
      </c>
      <c r="H710" s="2">
        <v>46165</v>
      </c>
      <c r="I710" s="2">
        <v>46164</v>
      </c>
      <c r="J710">
        <v>-1</v>
      </c>
      <c r="K710" t="s">
        <v>1344</v>
      </c>
    </row>
    <row r="711" spans="1:11" x14ac:dyDescent="0.35">
      <c r="A711" t="s">
        <v>737</v>
      </c>
      <c r="B711" s="2">
        <v>46123</v>
      </c>
      <c r="C711" t="s">
        <v>34</v>
      </c>
      <c r="D711" t="s">
        <v>35</v>
      </c>
      <c r="E711" t="s">
        <v>46</v>
      </c>
      <c r="F711">
        <v>17</v>
      </c>
      <c r="G711" t="s">
        <v>13</v>
      </c>
      <c r="H711" s="2">
        <v>46127</v>
      </c>
      <c r="I711" s="2">
        <v>46126</v>
      </c>
      <c r="J711">
        <v>-1</v>
      </c>
      <c r="K711" t="s">
        <v>1344</v>
      </c>
    </row>
    <row r="712" spans="1:11" x14ac:dyDescent="0.35">
      <c r="A712" t="s">
        <v>738</v>
      </c>
      <c r="B712" s="2">
        <v>46197</v>
      </c>
      <c r="C712" t="s">
        <v>34</v>
      </c>
      <c r="D712" t="s">
        <v>35</v>
      </c>
      <c r="E712" t="s">
        <v>22</v>
      </c>
      <c r="F712">
        <v>15</v>
      </c>
      <c r="G712" t="s">
        <v>13</v>
      </c>
      <c r="H712" s="2">
        <v>46198</v>
      </c>
      <c r="I712" s="2">
        <v>46198</v>
      </c>
      <c r="J712">
        <v>0</v>
      </c>
      <c r="K712" t="s">
        <v>1344</v>
      </c>
    </row>
    <row r="713" spans="1:11" x14ac:dyDescent="0.35">
      <c r="A713" t="s">
        <v>739</v>
      </c>
      <c r="B713" s="2">
        <v>46138</v>
      </c>
      <c r="C713" t="s">
        <v>15</v>
      </c>
      <c r="D713" t="s">
        <v>16</v>
      </c>
      <c r="E713" t="s">
        <v>46</v>
      </c>
      <c r="F713">
        <v>25</v>
      </c>
      <c r="G713" t="s">
        <v>26</v>
      </c>
      <c r="H713" s="2">
        <v>46141</v>
      </c>
      <c r="I713" s="2"/>
      <c r="K713" t="s">
        <v>26</v>
      </c>
    </row>
    <row r="714" spans="1:11" x14ac:dyDescent="0.35">
      <c r="A714" t="s">
        <v>740</v>
      </c>
      <c r="B714" s="2">
        <v>46175</v>
      </c>
      <c r="C714" t="s">
        <v>15</v>
      </c>
      <c r="D714" t="s">
        <v>16</v>
      </c>
      <c r="E714" t="s">
        <v>24</v>
      </c>
      <c r="F714">
        <v>17</v>
      </c>
      <c r="G714" t="s">
        <v>13</v>
      </c>
      <c r="H714" s="2">
        <v>46176</v>
      </c>
      <c r="I714" s="2">
        <v>46175</v>
      </c>
      <c r="J714">
        <v>-1</v>
      </c>
      <c r="K714" t="s">
        <v>1344</v>
      </c>
    </row>
    <row r="715" spans="1:11" x14ac:dyDescent="0.35">
      <c r="A715" t="s">
        <v>741</v>
      </c>
      <c r="B715" s="2">
        <v>46201</v>
      </c>
      <c r="C715" t="s">
        <v>15</v>
      </c>
      <c r="D715" t="s">
        <v>16</v>
      </c>
      <c r="E715" t="s">
        <v>12</v>
      </c>
      <c r="F715">
        <v>26</v>
      </c>
      <c r="G715" t="s">
        <v>13</v>
      </c>
      <c r="H715" s="2">
        <v>46202</v>
      </c>
      <c r="I715" s="2">
        <v>46201</v>
      </c>
      <c r="J715">
        <v>-1</v>
      </c>
      <c r="K715" t="s">
        <v>1344</v>
      </c>
    </row>
    <row r="716" spans="1:11" x14ac:dyDescent="0.35">
      <c r="A716" t="s">
        <v>742</v>
      </c>
      <c r="B716" s="2">
        <v>46198</v>
      </c>
      <c r="C716" t="s">
        <v>19</v>
      </c>
      <c r="D716" t="s">
        <v>20</v>
      </c>
      <c r="E716" t="s">
        <v>46</v>
      </c>
      <c r="F716">
        <v>29</v>
      </c>
      <c r="G716" t="s">
        <v>13</v>
      </c>
      <c r="H716" s="2">
        <v>46200</v>
      </c>
      <c r="I716" s="2">
        <v>46199</v>
      </c>
      <c r="J716">
        <v>-1</v>
      </c>
      <c r="K716" t="s">
        <v>1344</v>
      </c>
    </row>
    <row r="717" spans="1:11" x14ac:dyDescent="0.35">
      <c r="A717" t="s">
        <v>743</v>
      </c>
      <c r="B717" s="2">
        <v>46171</v>
      </c>
      <c r="C717" t="s">
        <v>10</v>
      </c>
      <c r="D717" t="s">
        <v>11</v>
      </c>
      <c r="E717" t="s">
        <v>24</v>
      </c>
      <c r="F717">
        <v>26</v>
      </c>
      <c r="G717" t="s">
        <v>13</v>
      </c>
      <c r="H717" s="2">
        <v>46173</v>
      </c>
      <c r="I717" s="2">
        <v>46172</v>
      </c>
      <c r="J717">
        <v>-1</v>
      </c>
      <c r="K717" t="s">
        <v>1344</v>
      </c>
    </row>
    <row r="718" spans="1:11" x14ac:dyDescent="0.35">
      <c r="A718" t="s">
        <v>744</v>
      </c>
      <c r="B718" s="2">
        <v>46139</v>
      </c>
      <c r="C718" t="s">
        <v>15</v>
      </c>
      <c r="D718" t="s">
        <v>16</v>
      </c>
      <c r="E718" t="s">
        <v>17</v>
      </c>
      <c r="F718">
        <v>18</v>
      </c>
      <c r="G718" t="s">
        <v>62</v>
      </c>
      <c r="H718" s="2">
        <v>46143</v>
      </c>
      <c r="I718" s="2">
        <v>46147</v>
      </c>
      <c r="J718">
        <v>4</v>
      </c>
      <c r="K718" t="s">
        <v>62</v>
      </c>
    </row>
    <row r="719" spans="1:11" x14ac:dyDescent="0.35">
      <c r="A719" t="s">
        <v>745</v>
      </c>
      <c r="B719" s="2">
        <v>46161</v>
      </c>
      <c r="C719" t="s">
        <v>15</v>
      </c>
      <c r="D719" t="s">
        <v>16</v>
      </c>
      <c r="E719" t="s">
        <v>43</v>
      </c>
      <c r="F719">
        <v>22</v>
      </c>
      <c r="G719" t="s">
        <v>13</v>
      </c>
      <c r="H719" s="2">
        <v>46162</v>
      </c>
      <c r="I719" s="2">
        <v>46162</v>
      </c>
      <c r="J719">
        <v>0</v>
      </c>
      <c r="K719" t="s">
        <v>1344</v>
      </c>
    </row>
    <row r="720" spans="1:11" x14ac:dyDescent="0.35">
      <c r="A720" t="s">
        <v>746</v>
      </c>
      <c r="B720" s="2">
        <v>46189</v>
      </c>
      <c r="C720" t="s">
        <v>10</v>
      </c>
      <c r="D720" t="s">
        <v>11</v>
      </c>
      <c r="E720" t="s">
        <v>55</v>
      </c>
      <c r="F720">
        <v>6</v>
      </c>
      <c r="G720" t="s">
        <v>13</v>
      </c>
      <c r="H720" s="2">
        <v>46193</v>
      </c>
      <c r="I720" s="2">
        <v>46193</v>
      </c>
      <c r="J720">
        <v>0</v>
      </c>
      <c r="K720" t="s">
        <v>1344</v>
      </c>
    </row>
    <row r="721" spans="1:11" x14ac:dyDescent="0.35">
      <c r="A721" t="s">
        <v>747</v>
      </c>
      <c r="B721" s="2">
        <v>46145</v>
      </c>
      <c r="C721" t="s">
        <v>15</v>
      </c>
      <c r="D721" t="s">
        <v>16</v>
      </c>
      <c r="E721" t="s">
        <v>17</v>
      </c>
      <c r="F721">
        <v>17</v>
      </c>
      <c r="G721" t="s">
        <v>13</v>
      </c>
      <c r="H721" s="2">
        <v>46148</v>
      </c>
      <c r="I721" s="2">
        <v>46148</v>
      </c>
      <c r="J721">
        <v>0</v>
      </c>
      <c r="K721" t="s">
        <v>1344</v>
      </c>
    </row>
    <row r="722" spans="1:11" x14ac:dyDescent="0.35">
      <c r="A722" t="s">
        <v>748</v>
      </c>
      <c r="B722" s="2">
        <v>46113</v>
      </c>
      <c r="C722" t="s">
        <v>15</v>
      </c>
      <c r="D722" t="s">
        <v>16</v>
      </c>
      <c r="E722" t="s">
        <v>22</v>
      </c>
      <c r="F722">
        <v>23</v>
      </c>
      <c r="G722" t="s">
        <v>13</v>
      </c>
      <c r="H722" s="2">
        <v>46114</v>
      </c>
      <c r="I722" s="2">
        <v>46114</v>
      </c>
      <c r="J722">
        <v>0</v>
      </c>
      <c r="K722" t="s">
        <v>1344</v>
      </c>
    </row>
    <row r="723" spans="1:11" x14ac:dyDescent="0.35">
      <c r="A723" t="s">
        <v>749</v>
      </c>
      <c r="B723" s="2">
        <v>46133</v>
      </c>
      <c r="C723" t="s">
        <v>19</v>
      </c>
      <c r="D723" t="s">
        <v>20</v>
      </c>
      <c r="E723" t="s">
        <v>24</v>
      </c>
      <c r="F723">
        <v>24</v>
      </c>
      <c r="G723" t="s">
        <v>62</v>
      </c>
      <c r="H723" s="2">
        <v>46134</v>
      </c>
      <c r="I723" s="2">
        <v>46138</v>
      </c>
      <c r="J723">
        <v>4</v>
      </c>
      <c r="K723" t="s">
        <v>62</v>
      </c>
    </row>
    <row r="724" spans="1:11" x14ac:dyDescent="0.35">
      <c r="A724" t="s">
        <v>750</v>
      </c>
      <c r="B724" s="2">
        <v>46167</v>
      </c>
      <c r="C724" t="s">
        <v>15</v>
      </c>
      <c r="D724" t="s">
        <v>16</v>
      </c>
      <c r="E724" t="s">
        <v>46</v>
      </c>
      <c r="F724">
        <v>18</v>
      </c>
      <c r="G724" t="s">
        <v>13</v>
      </c>
      <c r="H724" s="2">
        <v>46170</v>
      </c>
      <c r="I724" s="2">
        <v>46170</v>
      </c>
      <c r="J724">
        <v>0</v>
      </c>
      <c r="K724" t="s">
        <v>1344</v>
      </c>
    </row>
    <row r="725" spans="1:11" x14ac:dyDescent="0.35">
      <c r="A725" t="s">
        <v>751</v>
      </c>
      <c r="B725" s="2">
        <v>46118</v>
      </c>
      <c r="C725" t="s">
        <v>10</v>
      </c>
      <c r="D725" t="s">
        <v>11</v>
      </c>
      <c r="E725" t="s">
        <v>22</v>
      </c>
      <c r="F725">
        <v>8</v>
      </c>
      <c r="G725" t="s">
        <v>13</v>
      </c>
      <c r="H725" s="2">
        <v>46121</v>
      </c>
      <c r="I725" s="2">
        <v>46120</v>
      </c>
      <c r="J725">
        <v>-1</v>
      </c>
      <c r="K725" t="s">
        <v>1344</v>
      </c>
    </row>
    <row r="726" spans="1:11" x14ac:dyDescent="0.35">
      <c r="A726" t="s">
        <v>752</v>
      </c>
      <c r="B726" s="2">
        <v>46193</v>
      </c>
      <c r="C726" t="s">
        <v>19</v>
      </c>
      <c r="D726" t="s">
        <v>20</v>
      </c>
      <c r="E726" t="s">
        <v>55</v>
      </c>
      <c r="F726">
        <v>9</v>
      </c>
      <c r="G726" t="s">
        <v>13</v>
      </c>
      <c r="H726" s="2">
        <v>46197</v>
      </c>
      <c r="I726" s="2">
        <v>46197</v>
      </c>
      <c r="J726">
        <v>0</v>
      </c>
      <c r="K726" t="s">
        <v>1344</v>
      </c>
    </row>
    <row r="727" spans="1:11" x14ac:dyDescent="0.35">
      <c r="A727" t="s">
        <v>753</v>
      </c>
      <c r="B727" s="2">
        <v>46181</v>
      </c>
      <c r="C727" t="s">
        <v>34</v>
      </c>
      <c r="D727" t="s">
        <v>35</v>
      </c>
      <c r="E727" t="s">
        <v>43</v>
      </c>
      <c r="F727">
        <v>6</v>
      </c>
      <c r="G727" t="s">
        <v>13</v>
      </c>
      <c r="H727" s="2">
        <v>46185</v>
      </c>
      <c r="I727" s="2">
        <v>46185</v>
      </c>
      <c r="J727">
        <v>0</v>
      </c>
      <c r="K727" t="s">
        <v>1344</v>
      </c>
    </row>
    <row r="728" spans="1:11" x14ac:dyDescent="0.35">
      <c r="A728" t="s">
        <v>754</v>
      </c>
      <c r="B728" s="2">
        <v>46117</v>
      </c>
      <c r="C728" t="s">
        <v>15</v>
      </c>
      <c r="D728" t="s">
        <v>16</v>
      </c>
      <c r="E728" t="s">
        <v>12</v>
      </c>
      <c r="F728">
        <v>5</v>
      </c>
      <c r="G728" t="s">
        <v>26</v>
      </c>
      <c r="H728" s="2">
        <v>46120</v>
      </c>
      <c r="I728" s="2"/>
      <c r="K728" t="s">
        <v>26</v>
      </c>
    </row>
    <row r="729" spans="1:11" x14ac:dyDescent="0.35">
      <c r="A729" t="s">
        <v>755</v>
      </c>
      <c r="B729" s="2">
        <v>46115</v>
      </c>
      <c r="C729" t="s">
        <v>15</v>
      </c>
      <c r="D729" t="s">
        <v>16</v>
      </c>
      <c r="E729" t="s">
        <v>22</v>
      </c>
      <c r="F729">
        <v>12</v>
      </c>
      <c r="G729" t="s">
        <v>26</v>
      </c>
      <c r="H729" s="2">
        <v>46119</v>
      </c>
      <c r="I729" s="2"/>
      <c r="K729" t="s">
        <v>26</v>
      </c>
    </row>
    <row r="730" spans="1:11" x14ac:dyDescent="0.35">
      <c r="A730" t="s">
        <v>756</v>
      </c>
      <c r="B730" s="2">
        <v>46165</v>
      </c>
      <c r="C730" t="s">
        <v>19</v>
      </c>
      <c r="D730" t="s">
        <v>20</v>
      </c>
      <c r="E730" t="s">
        <v>12</v>
      </c>
      <c r="F730">
        <v>25</v>
      </c>
      <c r="G730" t="s">
        <v>13</v>
      </c>
      <c r="H730" s="2">
        <v>46168</v>
      </c>
      <c r="I730" s="2">
        <v>46168</v>
      </c>
      <c r="J730">
        <v>0</v>
      </c>
      <c r="K730" t="s">
        <v>1344</v>
      </c>
    </row>
    <row r="731" spans="1:11" x14ac:dyDescent="0.35">
      <c r="A731" t="s">
        <v>757</v>
      </c>
      <c r="B731" s="2">
        <v>46135</v>
      </c>
      <c r="C731" t="s">
        <v>19</v>
      </c>
      <c r="D731" t="s">
        <v>20</v>
      </c>
      <c r="E731" t="s">
        <v>24</v>
      </c>
      <c r="F731">
        <v>29</v>
      </c>
      <c r="G731" t="s">
        <v>13</v>
      </c>
      <c r="H731" s="2">
        <v>46136</v>
      </c>
      <c r="I731" s="2">
        <v>46135</v>
      </c>
      <c r="J731">
        <v>-1</v>
      </c>
      <c r="K731" t="s">
        <v>1344</v>
      </c>
    </row>
    <row r="732" spans="1:11" x14ac:dyDescent="0.35">
      <c r="A732" t="s">
        <v>758</v>
      </c>
      <c r="B732" s="2">
        <v>46165</v>
      </c>
      <c r="C732" t="s">
        <v>19</v>
      </c>
      <c r="D732" t="s">
        <v>20</v>
      </c>
      <c r="E732" t="s">
        <v>55</v>
      </c>
      <c r="F732">
        <v>28</v>
      </c>
      <c r="G732" t="s">
        <v>26</v>
      </c>
      <c r="H732" s="2">
        <v>46166</v>
      </c>
      <c r="I732" s="2"/>
      <c r="K732" t="s">
        <v>26</v>
      </c>
    </row>
    <row r="733" spans="1:11" x14ac:dyDescent="0.35">
      <c r="A733" t="s">
        <v>759</v>
      </c>
      <c r="B733" s="2">
        <v>46149</v>
      </c>
      <c r="C733" t="s">
        <v>15</v>
      </c>
      <c r="D733" t="s">
        <v>16</v>
      </c>
      <c r="E733" t="s">
        <v>46</v>
      </c>
      <c r="F733">
        <v>11</v>
      </c>
      <c r="G733" t="s">
        <v>62</v>
      </c>
      <c r="H733" s="2">
        <v>46151</v>
      </c>
      <c r="I733" s="2">
        <v>46155</v>
      </c>
      <c r="J733">
        <v>4</v>
      </c>
      <c r="K733" t="s">
        <v>62</v>
      </c>
    </row>
    <row r="734" spans="1:11" x14ac:dyDescent="0.35">
      <c r="A734" t="s">
        <v>760</v>
      </c>
      <c r="B734" s="2">
        <v>46186</v>
      </c>
      <c r="C734" t="s">
        <v>19</v>
      </c>
      <c r="D734" t="s">
        <v>20</v>
      </c>
      <c r="E734" t="s">
        <v>55</v>
      </c>
      <c r="F734">
        <v>25</v>
      </c>
      <c r="G734" t="s">
        <v>13</v>
      </c>
      <c r="H734" s="2">
        <v>46187</v>
      </c>
      <c r="I734" s="2">
        <v>46187</v>
      </c>
      <c r="J734">
        <v>0</v>
      </c>
      <c r="K734" t="s">
        <v>1344</v>
      </c>
    </row>
    <row r="735" spans="1:11" x14ac:dyDescent="0.35">
      <c r="A735" t="s">
        <v>761</v>
      </c>
      <c r="B735" s="2">
        <v>46186</v>
      </c>
      <c r="C735" t="s">
        <v>19</v>
      </c>
      <c r="D735" t="s">
        <v>20</v>
      </c>
      <c r="E735" t="s">
        <v>55</v>
      </c>
      <c r="F735">
        <v>1</v>
      </c>
      <c r="G735" t="s">
        <v>13</v>
      </c>
      <c r="H735" s="2">
        <v>46189</v>
      </c>
      <c r="I735" s="2">
        <v>46188</v>
      </c>
      <c r="J735">
        <v>-1</v>
      </c>
      <c r="K735" t="s">
        <v>1344</v>
      </c>
    </row>
    <row r="736" spans="1:11" x14ac:dyDescent="0.35">
      <c r="A736" t="s">
        <v>762</v>
      </c>
      <c r="B736" s="2">
        <v>46195</v>
      </c>
      <c r="C736" t="s">
        <v>10</v>
      </c>
      <c r="D736" t="s">
        <v>11</v>
      </c>
      <c r="E736" t="s">
        <v>32</v>
      </c>
      <c r="F736">
        <v>11</v>
      </c>
      <c r="G736" t="s">
        <v>13</v>
      </c>
      <c r="H736" s="2">
        <v>46199</v>
      </c>
      <c r="I736" s="2">
        <v>46199</v>
      </c>
      <c r="J736">
        <v>0</v>
      </c>
      <c r="K736" t="s">
        <v>1344</v>
      </c>
    </row>
    <row r="737" spans="1:11" x14ac:dyDescent="0.35">
      <c r="A737" t="s">
        <v>763</v>
      </c>
      <c r="B737" s="2">
        <v>46129</v>
      </c>
      <c r="C737" t="s">
        <v>19</v>
      </c>
      <c r="D737" t="s">
        <v>20</v>
      </c>
      <c r="E737" t="s">
        <v>55</v>
      </c>
      <c r="F737">
        <v>19</v>
      </c>
      <c r="G737" t="s">
        <v>26</v>
      </c>
      <c r="H737" s="2">
        <v>46131</v>
      </c>
      <c r="I737" s="2"/>
      <c r="K737" t="s">
        <v>26</v>
      </c>
    </row>
    <row r="738" spans="1:11" x14ac:dyDescent="0.35">
      <c r="A738" t="s">
        <v>764</v>
      </c>
      <c r="B738" s="2">
        <v>46197</v>
      </c>
      <c r="C738" t="s">
        <v>19</v>
      </c>
      <c r="D738" t="s">
        <v>20</v>
      </c>
      <c r="E738" t="s">
        <v>55</v>
      </c>
      <c r="F738">
        <v>9</v>
      </c>
      <c r="G738" t="s">
        <v>13</v>
      </c>
      <c r="H738" s="2">
        <v>46201</v>
      </c>
      <c r="I738" s="2">
        <v>46201</v>
      </c>
      <c r="J738">
        <v>0</v>
      </c>
      <c r="K738" t="s">
        <v>1344</v>
      </c>
    </row>
    <row r="739" spans="1:11" x14ac:dyDescent="0.35">
      <c r="A739" t="s">
        <v>765</v>
      </c>
      <c r="B739" s="2">
        <v>46190</v>
      </c>
      <c r="C739" t="s">
        <v>10</v>
      </c>
      <c r="D739" t="s">
        <v>11</v>
      </c>
      <c r="E739" t="s">
        <v>17</v>
      </c>
      <c r="F739">
        <v>27</v>
      </c>
      <c r="G739" t="s">
        <v>13</v>
      </c>
      <c r="H739" s="2">
        <v>46193</v>
      </c>
      <c r="I739" s="2">
        <v>46193</v>
      </c>
      <c r="J739">
        <v>0</v>
      </c>
      <c r="K739" t="s">
        <v>1344</v>
      </c>
    </row>
    <row r="740" spans="1:11" x14ac:dyDescent="0.35">
      <c r="A740" t="s">
        <v>766</v>
      </c>
      <c r="B740" s="2">
        <v>46185</v>
      </c>
      <c r="C740" t="s">
        <v>10</v>
      </c>
      <c r="D740" t="s">
        <v>11</v>
      </c>
      <c r="E740" t="s">
        <v>22</v>
      </c>
      <c r="F740">
        <v>2</v>
      </c>
      <c r="G740" t="s">
        <v>26</v>
      </c>
      <c r="H740" s="2">
        <v>46186</v>
      </c>
      <c r="I740" s="2"/>
      <c r="K740" t="s">
        <v>26</v>
      </c>
    </row>
    <row r="741" spans="1:11" x14ac:dyDescent="0.35">
      <c r="A741" t="s">
        <v>767</v>
      </c>
      <c r="B741" s="2">
        <v>46113</v>
      </c>
      <c r="C741" t="s">
        <v>34</v>
      </c>
      <c r="D741" t="s">
        <v>35</v>
      </c>
      <c r="E741" t="s">
        <v>46</v>
      </c>
      <c r="F741">
        <v>12</v>
      </c>
      <c r="G741" t="s">
        <v>13</v>
      </c>
      <c r="H741" s="2">
        <v>46115</v>
      </c>
      <c r="I741" s="2">
        <v>46114</v>
      </c>
      <c r="J741">
        <v>-1</v>
      </c>
      <c r="K741" t="s">
        <v>1344</v>
      </c>
    </row>
    <row r="742" spans="1:11" x14ac:dyDescent="0.35">
      <c r="A742" t="s">
        <v>768</v>
      </c>
      <c r="B742" s="2">
        <v>46163</v>
      </c>
      <c r="C742" t="s">
        <v>15</v>
      </c>
      <c r="D742" t="s">
        <v>16</v>
      </c>
      <c r="E742" t="s">
        <v>17</v>
      </c>
      <c r="F742">
        <v>4</v>
      </c>
      <c r="G742" t="s">
        <v>13</v>
      </c>
      <c r="H742" s="2">
        <v>46166</v>
      </c>
      <c r="I742" s="2">
        <v>46166</v>
      </c>
      <c r="J742">
        <v>0</v>
      </c>
      <c r="K742" t="s">
        <v>1344</v>
      </c>
    </row>
    <row r="743" spans="1:11" x14ac:dyDescent="0.35">
      <c r="A743" t="s">
        <v>769</v>
      </c>
      <c r="B743" s="2">
        <v>46157</v>
      </c>
      <c r="C743" t="s">
        <v>10</v>
      </c>
      <c r="D743" t="s">
        <v>11</v>
      </c>
      <c r="E743" t="s">
        <v>17</v>
      </c>
      <c r="F743">
        <v>4</v>
      </c>
      <c r="G743" t="s">
        <v>13</v>
      </c>
      <c r="H743" s="2">
        <v>46159</v>
      </c>
      <c r="I743" s="2">
        <v>46159</v>
      </c>
      <c r="J743">
        <v>0</v>
      </c>
      <c r="K743" t="s">
        <v>1344</v>
      </c>
    </row>
    <row r="744" spans="1:11" x14ac:dyDescent="0.35">
      <c r="A744" t="s">
        <v>770</v>
      </c>
      <c r="B744" s="2">
        <v>46189</v>
      </c>
      <c r="C744" t="s">
        <v>34</v>
      </c>
      <c r="D744" t="s">
        <v>35</v>
      </c>
      <c r="E744" t="s">
        <v>22</v>
      </c>
      <c r="F744">
        <v>18</v>
      </c>
      <c r="G744" t="s">
        <v>13</v>
      </c>
      <c r="H744" s="2">
        <v>46191</v>
      </c>
      <c r="I744" s="2">
        <v>46191</v>
      </c>
      <c r="J744">
        <v>0</v>
      </c>
      <c r="K744" t="s">
        <v>1344</v>
      </c>
    </row>
    <row r="745" spans="1:11" x14ac:dyDescent="0.35">
      <c r="A745" t="s">
        <v>771</v>
      </c>
      <c r="B745" s="2">
        <v>46116</v>
      </c>
      <c r="C745" t="s">
        <v>19</v>
      </c>
      <c r="D745" t="s">
        <v>20</v>
      </c>
      <c r="E745" t="s">
        <v>22</v>
      </c>
      <c r="F745">
        <v>15</v>
      </c>
      <c r="G745" t="s">
        <v>13</v>
      </c>
      <c r="H745" s="2">
        <v>46117</v>
      </c>
      <c r="I745" s="2">
        <v>46116</v>
      </c>
      <c r="J745">
        <v>-1</v>
      </c>
      <c r="K745" t="s">
        <v>1344</v>
      </c>
    </row>
    <row r="746" spans="1:11" x14ac:dyDescent="0.35">
      <c r="A746" t="s">
        <v>772</v>
      </c>
      <c r="B746" s="2">
        <v>46174</v>
      </c>
      <c r="C746" t="s">
        <v>19</v>
      </c>
      <c r="D746" t="s">
        <v>20</v>
      </c>
      <c r="E746" t="s">
        <v>24</v>
      </c>
      <c r="F746">
        <v>19</v>
      </c>
      <c r="G746" t="s">
        <v>13</v>
      </c>
      <c r="H746" s="2">
        <v>46177</v>
      </c>
      <c r="I746" s="2">
        <v>46177</v>
      </c>
      <c r="J746">
        <v>0</v>
      </c>
      <c r="K746" t="s">
        <v>1344</v>
      </c>
    </row>
    <row r="747" spans="1:11" x14ac:dyDescent="0.35">
      <c r="A747" t="s">
        <v>773</v>
      </c>
      <c r="B747" s="2">
        <v>46177</v>
      </c>
      <c r="C747" t="s">
        <v>10</v>
      </c>
      <c r="D747" t="s">
        <v>11</v>
      </c>
      <c r="E747" t="s">
        <v>22</v>
      </c>
      <c r="F747">
        <v>13</v>
      </c>
      <c r="G747" t="s">
        <v>13</v>
      </c>
      <c r="H747" s="2">
        <v>46181</v>
      </c>
      <c r="I747" s="2">
        <v>46180</v>
      </c>
      <c r="J747">
        <v>-1</v>
      </c>
      <c r="K747" t="s">
        <v>1344</v>
      </c>
    </row>
    <row r="748" spans="1:11" x14ac:dyDescent="0.35">
      <c r="A748" t="s">
        <v>774</v>
      </c>
      <c r="B748" s="2">
        <v>46144</v>
      </c>
      <c r="C748" t="s">
        <v>15</v>
      </c>
      <c r="D748" t="s">
        <v>16</v>
      </c>
      <c r="E748" t="s">
        <v>32</v>
      </c>
      <c r="F748">
        <v>19</v>
      </c>
      <c r="G748" t="s">
        <v>13</v>
      </c>
      <c r="H748" s="2">
        <v>46146</v>
      </c>
      <c r="I748" s="2">
        <v>46146</v>
      </c>
      <c r="J748">
        <v>0</v>
      </c>
      <c r="K748" t="s">
        <v>1344</v>
      </c>
    </row>
    <row r="749" spans="1:11" x14ac:dyDescent="0.35">
      <c r="A749" t="s">
        <v>775</v>
      </c>
      <c r="B749" s="2">
        <v>46146</v>
      </c>
      <c r="C749" t="s">
        <v>15</v>
      </c>
      <c r="D749" t="s">
        <v>16</v>
      </c>
      <c r="E749" t="s">
        <v>32</v>
      </c>
      <c r="F749">
        <v>17</v>
      </c>
      <c r="G749" t="s">
        <v>26</v>
      </c>
      <c r="H749" s="2">
        <v>46148</v>
      </c>
      <c r="I749" s="2"/>
      <c r="K749" t="s">
        <v>26</v>
      </c>
    </row>
    <row r="750" spans="1:11" x14ac:dyDescent="0.35">
      <c r="A750" t="s">
        <v>776</v>
      </c>
      <c r="B750" s="2">
        <v>46184</v>
      </c>
      <c r="C750" t="s">
        <v>15</v>
      </c>
      <c r="D750" t="s">
        <v>16</v>
      </c>
      <c r="E750" t="s">
        <v>17</v>
      </c>
      <c r="F750">
        <v>6</v>
      </c>
      <c r="G750" t="s">
        <v>26</v>
      </c>
      <c r="H750" s="2">
        <v>46188</v>
      </c>
      <c r="I750" s="2"/>
      <c r="K750" t="s">
        <v>26</v>
      </c>
    </row>
    <row r="751" spans="1:11" x14ac:dyDescent="0.35">
      <c r="A751" t="s">
        <v>777</v>
      </c>
      <c r="B751" s="2">
        <v>46151</v>
      </c>
      <c r="C751" t="s">
        <v>10</v>
      </c>
      <c r="D751" t="s">
        <v>11</v>
      </c>
      <c r="E751" t="s">
        <v>12</v>
      </c>
      <c r="F751">
        <v>16</v>
      </c>
      <c r="G751" t="s">
        <v>13</v>
      </c>
      <c r="H751" s="2">
        <v>46154</v>
      </c>
      <c r="I751" s="2">
        <v>46153</v>
      </c>
      <c r="J751">
        <v>-1</v>
      </c>
      <c r="K751" t="s">
        <v>1344</v>
      </c>
    </row>
    <row r="752" spans="1:11" x14ac:dyDescent="0.35">
      <c r="A752" t="s">
        <v>778</v>
      </c>
      <c r="B752" s="2">
        <v>46138</v>
      </c>
      <c r="C752" t="s">
        <v>19</v>
      </c>
      <c r="D752" t="s">
        <v>20</v>
      </c>
      <c r="E752" t="s">
        <v>24</v>
      </c>
      <c r="F752">
        <v>24</v>
      </c>
      <c r="G752" t="s">
        <v>13</v>
      </c>
      <c r="H752" s="2">
        <v>46140</v>
      </c>
      <c r="I752" s="2">
        <v>46140</v>
      </c>
      <c r="J752">
        <v>0</v>
      </c>
      <c r="K752" t="s">
        <v>1344</v>
      </c>
    </row>
    <row r="753" spans="1:11" x14ac:dyDescent="0.35">
      <c r="A753" t="s">
        <v>779</v>
      </c>
      <c r="B753" s="2">
        <v>46146</v>
      </c>
      <c r="C753" t="s">
        <v>19</v>
      </c>
      <c r="D753" t="s">
        <v>20</v>
      </c>
      <c r="E753" t="s">
        <v>12</v>
      </c>
      <c r="F753">
        <v>12</v>
      </c>
      <c r="G753" t="s">
        <v>13</v>
      </c>
      <c r="H753" s="2">
        <v>46148</v>
      </c>
      <c r="I753" s="2">
        <v>46148</v>
      </c>
      <c r="J753">
        <v>0</v>
      </c>
      <c r="K753" t="s">
        <v>1344</v>
      </c>
    </row>
    <row r="754" spans="1:11" x14ac:dyDescent="0.35">
      <c r="A754" t="s">
        <v>780</v>
      </c>
      <c r="B754" s="2">
        <v>46166</v>
      </c>
      <c r="C754" t="s">
        <v>34</v>
      </c>
      <c r="D754" t="s">
        <v>35</v>
      </c>
      <c r="E754" t="s">
        <v>12</v>
      </c>
      <c r="F754">
        <v>19</v>
      </c>
      <c r="G754" t="s">
        <v>13</v>
      </c>
      <c r="H754" s="2">
        <v>46168</v>
      </c>
      <c r="I754" s="2">
        <v>46167</v>
      </c>
      <c r="J754">
        <v>-1</v>
      </c>
      <c r="K754" t="s">
        <v>1344</v>
      </c>
    </row>
    <row r="755" spans="1:11" x14ac:dyDescent="0.35">
      <c r="A755" t="s">
        <v>781</v>
      </c>
      <c r="B755" s="2">
        <v>46115</v>
      </c>
      <c r="C755" t="s">
        <v>19</v>
      </c>
      <c r="D755" t="s">
        <v>20</v>
      </c>
      <c r="E755" t="s">
        <v>17</v>
      </c>
      <c r="F755">
        <v>5</v>
      </c>
      <c r="G755" t="s">
        <v>13</v>
      </c>
      <c r="H755" s="2">
        <v>46118</v>
      </c>
      <c r="I755" s="2">
        <v>46117</v>
      </c>
      <c r="J755">
        <v>-1</v>
      </c>
      <c r="K755" t="s">
        <v>1344</v>
      </c>
    </row>
    <row r="756" spans="1:11" x14ac:dyDescent="0.35">
      <c r="A756" t="s">
        <v>782</v>
      </c>
      <c r="B756" s="2">
        <v>46162</v>
      </c>
      <c r="C756" t="s">
        <v>19</v>
      </c>
      <c r="D756" t="s">
        <v>20</v>
      </c>
      <c r="E756" t="s">
        <v>43</v>
      </c>
      <c r="F756">
        <v>17</v>
      </c>
      <c r="G756" t="s">
        <v>13</v>
      </c>
      <c r="H756" s="2">
        <v>46165</v>
      </c>
      <c r="I756" s="2">
        <v>46165</v>
      </c>
      <c r="J756">
        <v>0</v>
      </c>
      <c r="K756" t="s">
        <v>1344</v>
      </c>
    </row>
    <row r="757" spans="1:11" x14ac:dyDescent="0.35">
      <c r="A757" t="s">
        <v>783</v>
      </c>
      <c r="B757" s="2">
        <v>46124</v>
      </c>
      <c r="C757" t="s">
        <v>34</v>
      </c>
      <c r="D757" t="s">
        <v>35</v>
      </c>
      <c r="E757" t="s">
        <v>17</v>
      </c>
      <c r="F757">
        <v>26</v>
      </c>
      <c r="G757" t="s">
        <v>13</v>
      </c>
      <c r="H757" s="2">
        <v>46128</v>
      </c>
      <c r="I757" s="2">
        <v>46127</v>
      </c>
      <c r="J757">
        <v>-1</v>
      </c>
      <c r="K757" t="s">
        <v>1344</v>
      </c>
    </row>
    <row r="758" spans="1:11" x14ac:dyDescent="0.35">
      <c r="A758" t="s">
        <v>784</v>
      </c>
      <c r="B758" s="2">
        <v>46177</v>
      </c>
      <c r="C758" t="s">
        <v>19</v>
      </c>
      <c r="D758" t="s">
        <v>20</v>
      </c>
      <c r="E758" t="s">
        <v>46</v>
      </c>
      <c r="F758">
        <v>23</v>
      </c>
      <c r="G758" t="s">
        <v>13</v>
      </c>
      <c r="H758" s="2">
        <v>46180</v>
      </c>
      <c r="I758" s="2">
        <v>46180</v>
      </c>
      <c r="J758">
        <v>0</v>
      </c>
      <c r="K758" t="s">
        <v>1344</v>
      </c>
    </row>
    <row r="759" spans="1:11" x14ac:dyDescent="0.35">
      <c r="A759" t="s">
        <v>785</v>
      </c>
      <c r="B759" s="2">
        <v>46166</v>
      </c>
      <c r="C759" t="s">
        <v>34</v>
      </c>
      <c r="D759" t="s">
        <v>35</v>
      </c>
      <c r="E759" t="s">
        <v>46</v>
      </c>
      <c r="F759">
        <v>26</v>
      </c>
      <c r="G759" t="s">
        <v>13</v>
      </c>
      <c r="H759" s="2">
        <v>46169</v>
      </c>
      <c r="I759" s="2">
        <v>46169</v>
      </c>
      <c r="J759">
        <v>0</v>
      </c>
      <c r="K759" t="s">
        <v>1344</v>
      </c>
    </row>
    <row r="760" spans="1:11" x14ac:dyDescent="0.35">
      <c r="A760" t="s">
        <v>786</v>
      </c>
      <c r="B760" s="2">
        <v>46117</v>
      </c>
      <c r="C760" t="s">
        <v>15</v>
      </c>
      <c r="D760" t="s">
        <v>16</v>
      </c>
      <c r="E760" t="s">
        <v>22</v>
      </c>
      <c r="F760">
        <v>29</v>
      </c>
      <c r="G760" t="s">
        <v>13</v>
      </c>
      <c r="H760" s="2">
        <v>46118</v>
      </c>
      <c r="I760" s="2">
        <v>46118</v>
      </c>
      <c r="J760">
        <v>0</v>
      </c>
      <c r="K760" t="s">
        <v>1344</v>
      </c>
    </row>
    <row r="761" spans="1:11" x14ac:dyDescent="0.35">
      <c r="A761" t="s">
        <v>787</v>
      </c>
      <c r="B761" s="2">
        <v>46169</v>
      </c>
      <c r="C761" t="s">
        <v>10</v>
      </c>
      <c r="D761" t="s">
        <v>11</v>
      </c>
      <c r="E761" t="s">
        <v>22</v>
      </c>
      <c r="F761">
        <v>1</v>
      </c>
      <c r="G761" t="s">
        <v>13</v>
      </c>
      <c r="H761" s="2">
        <v>46173</v>
      </c>
      <c r="I761" s="2">
        <v>46172</v>
      </c>
      <c r="J761">
        <v>-1</v>
      </c>
      <c r="K761" t="s">
        <v>1344</v>
      </c>
    </row>
    <row r="762" spans="1:11" x14ac:dyDescent="0.35">
      <c r="A762" t="s">
        <v>788</v>
      </c>
      <c r="B762" s="2">
        <v>46129</v>
      </c>
      <c r="C762" t="s">
        <v>34</v>
      </c>
      <c r="D762" t="s">
        <v>35</v>
      </c>
      <c r="E762" t="s">
        <v>43</v>
      </c>
      <c r="F762">
        <v>28</v>
      </c>
      <c r="G762" t="s">
        <v>13</v>
      </c>
      <c r="H762" s="2">
        <v>46131</v>
      </c>
      <c r="I762" s="2">
        <v>46131</v>
      </c>
      <c r="J762">
        <v>0</v>
      </c>
      <c r="K762" t="s">
        <v>1344</v>
      </c>
    </row>
    <row r="763" spans="1:11" x14ac:dyDescent="0.35">
      <c r="A763" t="s">
        <v>789</v>
      </c>
      <c r="B763" s="2">
        <v>46159</v>
      </c>
      <c r="C763" t="s">
        <v>10</v>
      </c>
      <c r="D763" t="s">
        <v>11</v>
      </c>
      <c r="E763" t="s">
        <v>22</v>
      </c>
      <c r="F763">
        <v>27</v>
      </c>
      <c r="G763" t="s">
        <v>13</v>
      </c>
      <c r="H763" s="2">
        <v>46162</v>
      </c>
      <c r="I763" s="2">
        <v>46161</v>
      </c>
      <c r="J763">
        <v>-1</v>
      </c>
      <c r="K763" t="s">
        <v>1344</v>
      </c>
    </row>
    <row r="764" spans="1:11" x14ac:dyDescent="0.35">
      <c r="A764" t="s">
        <v>790</v>
      </c>
      <c r="B764" s="2">
        <v>46135</v>
      </c>
      <c r="C764" t="s">
        <v>10</v>
      </c>
      <c r="D764" t="s">
        <v>11</v>
      </c>
      <c r="E764" t="s">
        <v>46</v>
      </c>
      <c r="F764">
        <v>25</v>
      </c>
      <c r="G764" t="s">
        <v>26</v>
      </c>
      <c r="H764" s="2">
        <v>46137</v>
      </c>
      <c r="I764" s="2"/>
      <c r="K764" t="s">
        <v>26</v>
      </c>
    </row>
    <row r="765" spans="1:11" x14ac:dyDescent="0.35">
      <c r="A765" t="s">
        <v>791</v>
      </c>
      <c r="B765" s="2">
        <v>46191</v>
      </c>
      <c r="C765" t="s">
        <v>10</v>
      </c>
      <c r="D765" t="s">
        <v>11</v>
      </c>
      <c r="E765" t="s">
        <v>12</v>
      </c>
      <c r="F765">
        <v>24</v>
      </c>
      <c r="G765" t="s">
        <v>26</v>
      </c>
      <c r="H765" s="2">
        <v>46193</v>
      </c>
      <c r="I765" s="2"/>
      <c r="K765" t="s">
        <v>26</v>
      </c>
    </row>
    <row r="766" spans="1:11" x14ac:dyDescent="0.35">
      <c r="A766" t="s">
        <v>792</v>
      </c>
      <c r="B766" s="2">
        <v>46197</v>
      </c>
      <c r="C766" t="s">
        <v>34</v>
      </c>
      <c r="D766" t="s">
        <v>35</v>
      </c>
      <c r="E766" t="s">
        <v>17</v>
      </c>
      <c r="F766">
        <v>23</v>
      </c>
      <c r="G766" t="s">
        <v>13</v>
      </c>
      <c r="H766" s="2">
        <v>46198</v>
      </c>
      <c r="I766" s="2">
        <v>46198</v>
      </c>
      <c r="J766">
        <v>0</v>
      </c>
      <c r="K766" t="s">
        <v>1344</v>
      </c>
    </row>
    <row r="767" spans="1:11" x14ac:dyDescent="0.35">
      <c r="A767" t="s">
        <v>793</v>
      </c>
      <c r="B767" s="2">
        <v>46126</v>
      </c>
      <c r="C767" t="s">
        <v>10</v>
      </c>
      <c r="D767" t="s">
        <v>11</v>
      </c>
      <c r="E767" t="s">
        <v>55</v>
      </c>
      <c r="F767">
        <v>10</v>
      </c>
      <c r="G767" t="s">
        <v>13</v>
      </c>
      <c r="H767" s="2">
        <v>46129</v>
      </c>
      <c r="I767" s="2">
        <v>46128</v>
      </c>
      <c r="J767">
        <v>-1</v>
      </c>
      <c r="K767" t="s">
        <v>1344</v>
      </c>
    </row>
    <row r="768" spans="1:11" x14ac:dyDescent="0.35">
      <c r="A768" t="s">
        <v>794</v>
      </c>
      <c r="B768" s="2">
        <v>46178</v>
      </c>
      <c r="C768" t="s">
        <v>10</v>
      </c>
      <c r="D768" t="s">
        <v>11</v>
      </c>
      <c r="E768" t="s">
        <v>32</v>
      </c>
      <c r="F768">
        <v>15</v>
      </c>
      <c r="G768" t="s">
        <v>13</v>
      </c>
      <c r="H768" s="2">
        <v>46182</v>
      </c>
      <c r="I768" s="2">
        <v>46181</v>
      </c>
      <c r="J768">
        <v>-1</v>
      </c>
      <c r="K768" t="s">
        <v>1344</v>
      </c>
    </row>
    <row r="769" spans="1:11" x14ac:dyDescent="0.35">
      <c r="A769" t="s">
        <v>795</v>
      </c>
      <c r="B769" s="2">
        <v>46187</v>
      </c>
      <c r="C769" t="s">
        <v>10</v>
      </c>
      <c r="D769" t="s">
        <v>11</v>
      </c>
      <c r="E769" t="s">
        <v>55</v>
      </c>
      <c r="F769">
        <v>23</v>
      </c>
      <c r="G769" t="s">
        <v>13</v>
      </c>
      <c r="H769" s="2">
        <v>46190</v>
      </c>
      <c r="I769" s="2">
        <v>46190</v>
      </c>
      <c r="J769">
        <v>0</v>
      </c>
      <c r="K769" t="s">
        <v>1344</v>
      </c>
    </row>
    <row r="770" spans="1:11" x14ac:dyDescent="0.35">
      <c r="A770" t="s">
        <v>796</v>
      </c>
      <c r="B770" s="2">
        <v>46163</v>
      </c>
      <c r="C770" t="s">
        <v>34</v>
      </c>
      <c r="D770" t="s">
        <v>35</v>
      </c>
      <c r="E770" t="s">
        <v>55</v>
      </c>
      <c r="F770">
        <v>21</v>
      </c>
      <c r="G770" t="s">
        <v>13</v>
      </c>
      <c r="H770" s="2">
        <v>46165</v>
      </c>
      <c r="I770" s="2">
        <v>46164</v>
      </c>
      <c r="J770">
        <v>-1</v>
      </c>
      <c r="K770" t="s">
        <v>1344</v>
      </c>
    </row>
    <row r="771" spans="1:11" x14ac:dyDescent="0.35">
      <c r="A771" t="s">
        <v>797</v>
      </c>
      <c r="B771" s="2">
        <v>46150</v>
      </c>
      <c r="C771" t="s">
        <v>15</v>
      </c>
      <c r="D771" t="s">
        <v>16</v>
      </c>
      <c r="E771" t="s">
        <v>46</v>
      </c>
      <c r="F771">
        <v>21</v>
      </c>
      <c r="G771" t="s">
        <v>26</v>
      </c>
      <c r="H771" s="2">
        <v>46154</v>
      </c>
      <c r="I771" s="2"/>
      <c r="K771" t="s">
        <v>26</v>
      </c>
    </row>
    <row r="772" spans="1:11" x14ac:dyDescent="0.35">
      <c r="A772" t="s">
        <v>798</v>
      </c>
      <c r="B772" s="2">
        <v>46176</v>
      </c>
      <c r="C772" t="s">
        <v>10</v>
      </c>
      <c r="D772" t="s">
        <v>11</v>
      </c>
      <c r="E772" t="s">
        <v>55</v>
      </c>
      <c r="F772">
        <v>11</v>
      </c>
      <c r="G772" t="s">
        <v>13</v>
      </c>
      <c r="H772" s="2">
        <v>46179</v>
      </c>
      <c r="I772" s="2">
        <v>46179</v>
      </c>
      <c r="J772">
        <v>0</v>
      </c>
      <c r="K772" t="s">
        <v>1344</v>
      </c>
    </row>
    <row r="773" spans="1:11" x14ac:dyDescent="0.35">
      <c r="A773" t="s">
        <v>799</v>
      </c>
      <c r="B773" s="2">
        <v>46150</v>
      </c>
      <c r="C773" t="s">
        <v>15</v>
      </c>
      <c r="D773" t="s">
        <v>16</v>
      </c>
      <c r="E773" t="s">
        <v>17</v>
      </c>
      <c r="F773">
        <v>13</v>
      </c>
      <c r="G773" t="s">
        <v>26</v>
      </c>
      <c r="H773" s="2">
        <v>46152</v>
      </c>
      <c r="I773" s="2"/>
      <c r="K773" t="s">
        <v>26</v>
      </c>
    </row>
    <row r="774" spans="1:11" x14ac:dyDescent="0.35">
      <c r="A774" t="s">
        <v>800</v>
      </c>
      <c r="B774" s="2">
        <v>46162</v>
      </c>
      <c r="C774" t="s">
        <v>10</v>
      </c>
      <c r="D774" t="s">
        <v>11</v>
      </c>
      <c r="E774" t="s">
        <v>43</v>
      </c>
      <c r="F774">
        <v>5</v>
      </c>
      <c r="G774" t="s">
        <v>13</v>
      </c>
      <c r="H774" s="2">
        <v>46164</v>
      </c>
      <c r="I774" s="2">
        <v>46164</v>
      </c>
      <c r="J774">
        <v>0</v>
      </c>
      <c r="K774" t="s">
        <v>1344</v>
      </c>
    </row>
    <row r="775" spans="1:11" x14ac:dyDescent="0.35">
      <c r="A775" t="s">
        <v>801</v>
      </c>
      <c r="B775" s="2">
        <v>46194</v>
      </c>
      <c r="C775" t="s">
        <v>10</v>
      </c>
      <c r="D775" t="s">
        <v>11</v>
      </c>
      <c r="E775" t="s">
        <v>24</v>
      </c>
      <c r="F775">
        <v>1</v>
      </c>
      <c r="G775" t="s">
        <v>13</v>
      </c>
      <c r="H775" s="2">
        <v>46195</v>
      </c>
      <c r="I775" s="2">
        <v>46195</v>
      </c>
      <c r="J775">
        <v>0</v>
      </c>
      <c r="K775" t="s">
        <v>1344</v>
      </c>
    </row>
    <row r="776" spans="1:11" x14ac:dyDescent="0.35">
      <c r="A776" t="s">
        <v>802</v>
      </c>
      <c r="B776" s="2">
        <v>46142</v>
      </c>
      <c r="C776" t="s">
        <v>34</v>
      </c>
      <c r="D776" t="s">
        <v>35</v>
      </c>
      <c r="E776" t="s">
        <v>22</v>
      </c>
      <c r="F776">
        <v>24</v>
      </c>
      <c r="G776" t="s">
        <v>26</v>
      </c>
      <c r="H776" s="2">
        <v>46143</v>
      </c>
      <c r="I776" s="2"/>
      <c r="K776" t="s">
        <v>26</v>
      </c>
    </row>
    <row r="777" spans="1:11" x14ac:dyDescent="0.35">
      <c r="A777" t="s">
        <v>803</v>
      </c>
      <c r="B777" s="2">
        <v>46191</v>
      </c>
      <c r="C777" t="s">
        <v>10</v>
      </c>
      <c r="D777" t="s">
        <v>11</v>
      </c>
      <c r="E777" t="s">
        <v>24</v>
      </c>
      <c r="F777">
        <v>12</v>
      </c>
      <c r="G777" t="s">
        <v>13</v>
      </c>
      <c r="H777" s="2">
        <v>46192</v>
      </c>
      <c r="I777" s="2">
        <v>46192</v>
      </c>
      <c r="J777">
        <v>0</v>
      </c>
      <c r="K777" t="s">
        <v>1344</v>
      </c>
    </row>
    <row r="778" spans="1:11" x14ac:dyDescent="0.35">
      <c r="A778" t="s">
        <v>804</v>
      </c>
      <c r="B778" s="2">
        <v>46203</v>
      </c>
      <c r="C778" t="s">
        <v>19</v>
      </c>
      <c r="D778" t="s">
        <v>20</v>
      </c>
      <c r="E778" t="s">
        <v>12</v>
      </c>
      <c r="F778">
        <v>11</v>
      </c>
      <c r="G778" t="s">
        <v>13</v>
      </c>
      <c r="H778" s="2">
        <v>46205</v>
      </c>
      <c r="I778" s="2">
        <v>46205</v>
      </c>
      <c r="J778">
        <v>0</v>
      </c>
      <c r="K778" t="s">
        <v>1344</v>
      </c>
    </row>
    <row r="779" spans="1:11" x14ac:dyDescent="0.35">
      <c r="A779" t="s">
        <v>805</v>
      </c>
      <c r="B779" s="2">
        <v>46163</v>
      </c>
      <c r="C779" t="s">
        <v>19</v>
      </c>
      <c r="D779" t="s">
        <v>20</v>
      </c>
      <c r="E779" t="s">
        <v>17</v>
      </c>
      <c r="F779">
        <v>17</v>
      </c>
      <c r="G779" t="s">
        <v>13</v>
      </c>
      <c r="H779" s="2">
        <v>46166</v>
      </c>
      <c r="I779" s="2">
        <v>46165</v>
      </c>
      <c r="J779">
        <v>-1</v>
      </c>
      <c r="K779" t="s">
        <v>1344</v>
      </c>
    </row>
    <row r="780" spans="1:11" x14ac:dyDescent="0.35">
      <c r="A780" t="s">
        <v>806</v>
      </c>
      <c r="B780" s="2">
        <v>46175</v>
      </c>
      <c r="C780" t="s">
        <v>19</v>
      </c>
      <c r="D780" t="s">
        <v>20</v>
      </c>
      <c r="E780" t="s">
        <v>17</v>
      </c>
      <c r="F780">
        <v>4</v>
      </c>
      <c r="G780" t="s">
        <v>13</v>
      </c>
      <c r="H780" s="2">
        <v>46176</v>
      </c>
      <c r="I780" s="2">
        <v>46176</v>
      </c>
      <c r="J780">
        <v>0</v>
      </c>
      <c r="K780" t="s">
        <v>1344</v>
      </c>
    </row>
    <row r="781" spans="1:11" x14ac:dyDescent="0.35">
      <c r="A781" t="s">
        <v>807</v>
      </c>
      <c r="B781" s="2">
        <v>46164</v>
      </c>
      <c r="C781" t="s">
        <v>19</v>
      </c>
      <c r="D781" t="s">
        <v>20</v>
      </c>
      <c r="E781" t="s">
        <v>32</v>
      </c>
      <c r="F781">
        <v>15</v>
      </c>
      <c r="G781" t="s">
        <v>62</v>
      </c>
      <c r="H781" s="2">
        <v>46167</v>
      </c>
      <c r="I781" s="2">
        <v>46171</v>
      </c>
      <c r="J781">
        <v>4</v>
      </c>
      <c r="K781" t="s">
        <v>62</v>
      </c>
    </row>
    <row r="782" spans="1:11" x14ac:dyDescent="0.35">
      <c r="A782" t="s">
        <v>808</v>
      </c>
      <c r="B782" s="2">
        <v>46150</v>
      </c>
      <c r="C782" t="s">
        <v>15</v>
      </c>
      <c r="D782" t="s">
        <v>16</v>
      </c>
      <c r="E782" t="s">
        <v>17</v>
      </c>
      <c r="F782">
        <v>25</v>
      </c>
      <c r="G782" t="s">
        <v>13</v>
      </c>
      <c r="H782" s="2">
        <v>46151</v>
      </c>
      <c r="I782" s="2">
        <v>46150</v>
      </c>
      <c r="J782">
        <v>-1</v>
      </c>
      <c r="K782" t="s">
        <v>1344</v>
      </c>
    </row>
    <row r="783" spans="1:11" x14ac:dyDescent="0.35">
      <c r="A783" t="s">
        <v>809</v>
      </c>
      <c r="B783" s="2">
        <v>46200</v>
      </c>
      <c r="C783" t="s">
        <v>15</v>
      </c>
      <c r="D783" t="s">
        <v>16</v>
      </c>
      <c r="E783" t="s">
        <v>22</v>
      </c>
      <c r="F783">
        <v>30</v>
      </c>
      <c r="G783" t="s">
        <v>62</v>
      </c>
      <c r="H783" s="2">
        <v>46204</v>
      </c>
      <c r="I783" s="2">
        <v>46205</v>
      </c>
      <c r="J783">
        <v>1</v>
      </c>
      <c r="K783" t="s">
        <v>62</v>
      </c>
    </row>
    <row r="784" spans="1:11" x14ac:dyDescent="0.35">
      <c r="A784" t="s">
        <v>810</v>
      </c>
      <c r="B784" s="2">
        <v>46191</v>
      </c>
      <c r="C784" t="s">
        <v>34</v>
      </c>
      <c r="D784" t="s">
        <v>35</v>
      </c>
      <c r="E784" t="s">
        <v>17</v>
      </c>
      <c r="F784">
        <v>9</v>
      </c>
      <c r="G784" t="s">
        <v>62</v>
      </c>
      <c r="H784" s="2">
        <v>46195</v>
      </c>
      <c r="I784" s="2">
        <v>46199</v>
      </c>
      <c r="J784">
        <v>4</v>
      </c>
      <c r="K784" t="s">
        <v>62</v>
      </c>
    </row>
    <row r="785" spans="1:11" x14ac:dyDescent="0.35">
      <c r="A785" t="s">
        <v>811</v>
      </c>
      <c r="B785" s="2">
        <v>46142</v>
      </c>
      <c r="C785" t="s">
        <v>15</v>
      </c>
      <c r="D785" t="s">
        <v>16</v>
      </c>
      <c r="E785" t="s">
        <v>55</v>
      </c>
      <c r="F785">
        <v>21</v>
      </c>
      <c r="G785" t="s">
        <v>26</v>
      </c>
      <c r="H785" s="2">
        <v>46143</v>
      </c>
      <c r="I785" s="2"/>
      <c r="K785" t="s">
        <v>26</v>
      </c>
    </row>
    <row r="786" spans="1:11" x14ac:dyDescent="0.35">
      <c r="A786" t="s">
        <v>812</v>
      </c>
      <c r="B786" s="2">
        <v>46163</v>
      </c>
      <c r="C786" t="s">
        <v>34</v>
      </c>
      <c r="D786" t="s">
        <v>35</v>
      </c>
      <c r="E786" t="s">
        <v>32</v>
      </c>
      <c r="F786">
        <v>20</v>
      </c>
      <c r="G786" t="s">
        <v>13</v>
      </c>
      <c r="H786" s="2">
        <v>46165</v>
      </c>
      <c r="I786" s="2">
        <v>46165</v>
      </c>
      <c r="J786">
        <v>0</v>
      </c>
      <c r="K786" t="s">
        <v>1344</v>
      </c>
    </row>
    <row r="787" spans="1:11" x14ac:dyDescent="0.35">
      <c r="A787" t="s">
        <v>813</v>
      </c>
      <c r="B787" s="2">
        <v>46193</v>
      </c>
      <c r="C787" t="s">
        <v>34</v>
      </c>
      <c r="D787" t="s">
        <v>35</v>
      </c>
      <c r="E787" t="s">
        <v>22</v>
      </c>
      <c r="F787">
        <v>19</v>
      </c>
      <c r="G787" t="s">
        <v>13</v>
      </c>
      <c r="H787" s="2">
        <v>46194</v>
      </c>
      <c r="I787" s="2">
        <v>46193</v>
      </c>
      <c r="J787">
        <v>-1</v>
      </c>
      <c r="K787" t="s">
        <v>1344</v>
      </c>
    </row>
    <row r="788" spans="1:11" x14ac:dyDescent="0.35">
      <c r="A788" t="s">
        <v>814</v>
      </c>
      <c r="B788" s="2">
        <v>46117</v>
      </c>
      <c r="C788" t="s">
        <v>10</v>
      </c>
      <c r="D788" t="s">
        <v>11</v>
      </c>
      <c r="E788" t="s">
        <v>43</v>
      </c>
      <c r="F788">
        <v>19</v>
      </c>
      <c r="G788" t="s">
        <v>26</v>
      </c>
      <c r="H788" s="2">
        <v>46118</v>
      </c>
      <c r="I788" s="2"/>
      <c r="K788" t="s">
        <v>26</v>
      </c>
    </row>
    <row r="789" spans="1:11" x14ac:dyDescent="0.35">
      <c r="A789" t="s">
        <v>815</v>
      </c>
      <c r="B789" s="2">
        <v>46141</v>
      </c>
      <c r="C789" t="s">
        <v>10</v>
      </c>
      <c r="D789" t="s">
        <v>11</v>
      </c>
      <c r="E789" t="s">
        <v>43</v>
      </c>
      <c r="F789">
        <v>12</v>
      </c>
      <c r="G789" t="s">
        <v>13</v>
      </c>
      <c r="H789" s="2">
        <v>46143</v>
      </c>
      <c r="I789" s="2">
        <v>46142</v>
      </c>
      <c r="J789">
        <v>-1</v>
      </c>
      <c r="K789" t="s">
        <v>1344</v>
      </c>
    </row>
    <row r="790" spans="1:11" x14ac:dyDescent="0.35">
      <c r="A790" t="s">
        <v>816</v>
      </c>
      <c r="B790" s="2">
        <v>46116</v>
      </c>
      <c r="C790" t="s">
        <v>10</v>
      </c>
      <c r="D790" t="s">
        <v>11</v>
      </c>
      <c r="E790" t="s">
        <v>43</v>
      </c>
      <c r="F790">
        <v>5</v>
      </c>
      <c r="G790" t="s">
        <v>13</v>
      </c>
      <c r="H790" s="2">
        <v>46120</v>
      </c>
      <c r="I790" s="2">
        <v>46119</v>
      </c>
      <c r="J790">
        <v>-1</v>
      </c>
      <c r="K790" t="s">
        <v>1344</v>
      </c>
    </row>
    <row r="791" spans="1:11" x14ac:dyDescent="0.35">
      <c r="A791" t="s">
        <v>817</v>
      </c>
      <c r="B791" s="2">
        <v>46122</v>
      </c>
      <c r="C791" t="s">
        <v>34</v>
      </c>
      <c r="D791" t="s">
        <v>35</v>
      </c>
      <c r="E791" t="s">
        <v>43</v>
      </c>
      <c r="F791">
        <v>10</v>
      </c>
      <c r="G791" t="s">
        <v>13</v>
      </c>
      <c r="H791" s="2">
        <v>46125</v>
      </c>
      <c r="I791" s="2">
        <v>46125</v>
      </c>
      <c r="J791">
        <v>0</v>
      </c>
      <c r="K791" t="s">
        <v>1344</v>
      </c>
    </row>
    <row r="792" spans="1:11" x14ac:dyDescent="0.35">
      <c r="A792" t="s">
        <v>818</v>
      </c>
      <c r="B792" s="2">
        <v>46168</v>
      </c>
      <c r="C792" t="s">
        <v>19</v>
      </c>
      <c r="D792" t="s">
        <v>20</v>
      </c>
      <c r="E792" t="s">
        <v>55</v>
      </c>
      <c r="F792">
        <v>17</v>
      </c>
      <c r="G792" t="s">
        <v>13</v>
      </c>
      <c r="H792" s="2">
        <v>46169</v>
      </c>
      <c r="I792" s="2">
        <v>46168</v>
      </c>
      <c r="J792">
        <v>-1</v>
      </c>
      <c r="K792" t="s">
        <v>1344</v>
      </c>
    </row>
    <row r="793" spans="1:11" x14ac:dyDescent="0.35">
      <c r="A793" t="s">
        <v>819</v>
      </c>
      <c r="B793" s="2">
        <v>46129</v>
      </c>
      <c r="C793" t="s">
        <v>34</v>
      </c>
      <c r="D793" t="s">
        <v>35</v>
      </c>
      <c r="E793" t="s">
        <v>17</v>
      </c>
      <c r="F793">
        <v>5</v>
      </c>
      <c r="G793" t="s">
        <v>13</v>
      </c>
      <c r="H793" s="2">
        <v>46131</v>
      </c>
      <c r="I793" s="2">
        <v>46131</v>
      </c>
      <c r="J793">
        <v>0</v>
      </c>
      <c r="K793" t="s">
        <v>1344</v>
      </c>
    </row>
    <row r="794" spans="1:11" x14ac:dyDescent="0.35">
      <c r="A794" t="s">
        <v>820</v>
      </c>
      <c r="B794" s="2">
        <v>46186</v>
      </c>
      <c r="C794" t="s">
        <v>19</v>
      </c>
      <c r="D794" t="s">
        <v>20</v>
      </c>
      <c r="E794" t="s">
        <v>24</v>
      </c>
      <c r="F794">
        <v>22</v>
      </c>
      <c r="G794" t="s">
        <v>13</v>
      </c>
      <c r="H794" s="2">
        <v>46187</v>
      </c>
      <c r="I794" s="2">
        <v>46186</v>
      </c>
      <c r="J794">
        <v>-1</v>
      </c>
      <c r="K794" t="s">
        <v>1344</v>
      </c>
    </row>
    <row r="795" spans="1:11" x14ac:dyDescent="0.35">
      <c r="A795" t="s">
        <v>821</v>
      </c>
      <c r="B795" s="2">
        <v>46129</v>
      </c>
      <c r="C795" t="s">
        <v>15</v>
      </c>
      <c r="D795" t="s">
        <v>16</v>
      </c>
      <c r="E795" t="s">
        <v>22</v>
      </c>
      <c r="F795">
        <v>16</v>
      </c>
      <c r="G795" t="s">
        <v>13</v>
      </c>
      <c r="H795" s="2">
        <v>46131</v>
      </c>
      <c r="I795" s="2">
        <v>46130</v>
      </c>
      <c r="J795">
        <v>-1</v>
      </c>
      <c r="K795" t="s">
        <v>1344</v>
      </c>
    </row>
    <row r="796" spans="1:11" x14ac:dyDescent="0.35">
      <c r="A796" t="s">
        <v>822</v>
      </c>
      <c r="B796" s="2">
        <v>46196</v>
      </c>
      <c r="C796" t="s">
        <v>19</v>
      </c>
      <c r="D796" t="s">
        <v>20</v>
      </c>
      <c r="E796" t="s">
        <v>55</v>
      </c>
      <c r="F796">
        <v>7</v>
      </c>
      <c r="G796" t="s">
        <v>26</v>
      </c>
      <c r="H796" s="2">
        <v>46199</v>
      </c>
      <c r="I796" s="2"/>
      <c r="K796" t="s">
        <v>26</v>
      </c>
    </row>
    <row r="797" spans="1:11" x14ac:dyDescent="0.35">
      <c r="A797" t="s">
        <v>823</v>
      </c>
      <c r="B797" s="2">
        <v>46200</v>
      </c>
      <c r="C797" t="s">
        <v>10</v>
      </c>
      <c r="D797" t="s">
        <v>11</v>
      </c>
      <c r="E797" t="s">
        <v>43</v>
      </c>
      <c r="F797">
        <v>28</v>
      </c>
      <c r="G797" t="s">
        <v>13</v>
      </c>
      <c r="H797" s="2">
        <v>46203</v>
      </c>
      <c r="I797" s="2">
        <v>46202</v>
      </c>
      <c r="J797">
        <v>-1</v>
      </c>
      <c r="K797" t="s">
        <v>1344</v>
      </c>
    </row>
    <row r="798" spans="1:11" x14ac:dyDescent="0.35">
      <c r="A798" t="s">
        <v>824</v>
      </c>
      <c r="B798" s="2">
        <v>46181</v>
      </c>
      <c r="C798" t="s">
        <v>34</v>
      </c>
      <c r="D798" t="s">
        <v>35</v>
      </c>
      <c r="E798" t="s">
        <v>12</v>
      </c>
      <c r="F798">
        <v>9</v>
      </c>
      <c r="G798" t="s">
        <v>62</v>
      </c>
      <c r="H798" s="2">
        <v>46185</v>
      </c>
      <c r="I798" s="2">
        <v>46189</v>
      </c>
      <c r="J798">
        <v>4</v>
      </c>
      <c r="K798" t="s">
        <v>62</v>
      </c>
    </row>
    <row r="799" spans="1:11" x14ac:dyDescent="0.35">
      <c r="A799" t="s">
        <v>825</v>
      </c>
      <c r="B799" s="2">
        <v>46146</v>
      </c>
      <c r="C799" t="s">
        <v>15</v>
      </c>
      <c r="D799" t="s">
        <v>16</v>
      </c>
      <c r="E799" t="s">
        <v>17</v>
      </c>
      <c r="F799">
        <v>3</v>
      </c>
      <c r="G799" t="s">
        <v>13</v>
      </c>
      <c r="H799" s="2">
        <v>46148</v>
      </c>
      <c r="I799" s="2">
        <v>46148</v>
      </c>
      <c r="J799">
        <v>0</v>
      </c>
      <c r="K799" t="s">
        <v>1344</v>
      </c>
    </row>
    <row r="800" spans="1:11" x14ac:dyDescent="0.35">
      <c r="A800" t="s">
        <v>826</v>
      </c>
      <c r="B800" s="2">
        <v>46118</v>
      </c>
      <c r="C800" t="s">
        <v>34</v>
      </c>
      <c r="D800" t="s">
        <v>35</v>
      </c>
      <c r="E800" t="s">
        <v>24</v>
      </c>
      <c r="F800">
        <v>15</v>
      </c>
      <c r="G800" t="s">
        <v>26</v>
      </c>
      <c r="H800" s="2">
        <v>46120</v>
      </c>
      <c r="I800" s="2"/>
      <c r="K800" t="s">
        <v>26</v>
      </c>
    </row>
    <row r="801" spans="1:11" x14ac:dyDescent="0.35">
      <c r="A801" t="s">
        <v>827</v>
      </c>
      <c r="B801" s="2">
        <v>46165</v>
      </c>
      <c r="C801" t="s">
        <v>15</v>
      </c>
      <c r="D801" t="s">
        <v>16</v>
      </c>
      <c r="E801" t="s">
        <v>12</v>
      </c>
      <c r="F801">
        <v>16</v>
      </c>
      <c r="G801" t="s">
        <v>13</v>
      </c>
      <c r="H801" s="2">
        <v>46169</v>
      </c>
      <c r="I801" s="2">
        <v>46169</v>
      </c>
      <c r="J801">
        <v>0</v>
      </c>
      <c r="K801" t="s">
        <v>1344</v>
      </c>
    </row>
    <row r="802" spans="1:11" x14ac:dyDescent="0.35">
      <c r="A802" t="s">
        <v>828</v>
      </c>
      <c r="B802" s="2">
        <v>46178</v>
      </c>
      <c r="C802" t="s">
        <v>15</v>
      </c>
      <c r="D802" t="s">
        <v>16</v>
      </c>
      <c r="E802" t="s">
        <v>32</v>
      </c>
      <c r="F802">
        <v>18</v>
      </c>
      <c r="G802" t="s">
        <v>26</v>
      </c>
      <c r="H802" s="2">
        <v>46182</v>
      </c>
      <c r="I802" s="2"/>
      <c r="K802" t="s">
        <v>26</v>
      </c>
    </row>
    <row r="803" spans="1:11" x14ac:dyDescent="0.35">
      <c r="A803" t="s">
        <v>829</v>
      </c>
      <c r="B803" s="2">
        <v>46189</v>
      </c>
      <c r="C803" t="s">
        <v>10</v>
      </c>
      <c r="D803" t="s">
        <v>11</v>
      </c>
      <c r="E803" t="s">
        <v>12</v>
      </c>
      <c r="F803">
        <v>14</v>
      </c>
      <c r="G803" t="s">
        <v>13</v>
      </c>
      <c r="H803" s="2">
        <v>46191</v>
      </c>
      <c r="I803" s="2">
        <v>46190</v>
      </c>
      <c r="J803">
        <v>-1</v>
      </c>
      <c r="K803" t="s">
        <v>1344</v>
      </c>
    </row>
    <row r="804" spans="1:11" x14ac:dyDescent="0.35">
      <c r="A804" t="s">
        <v>830</v>
      </c>
      <c r="B804" s="2">
        <v>46155</v>
      </c>
      <c r="C804" t="s">
        <v>34</v>
      </c>
      <c r="D804" t="s">
        <v>35</v>
      </c>
      <c r="E804" t="s">
        <v>32</v>
      </c>
      <c r="F804">
        <v>3</v>
      </c>
      <c r="G804" t="s">
        <v>26</v>
      </c>
      <c r="H804" s="2">
        <v>46159</v>
      </c>
      <c r="I804" s="2"/>
      <c r="K804" t="s">
        <v>26</v>
      </c>
    </row>
    <row r="805" spans="1:11" x14ac:dyDescent="0.35">
      <c r="A805" t="s">
        <v>831</v>
      </c>
      <c r="B805" s="2">
        <v>46187</v>
      </c>
      <c r="C805" t="s">
        <v>10</v>
      </c>
      <c r="D805" t="s">
        <v>11</v>
      </c>
      <c r="E805" t="s">
        <v>32</v>
      </c>
      <c r="F805">
        <v>12</v>
      </c>
      <c r="G805" t="s">
        <v>13</v>
      </c>
      <c r="H805" s="2">
        <v>46190</v>
      </c>
      <c r="I805" s="2">
        <v>46189</v>
      </c>
      <c r="J805">
        <v>-1</v>
      </c>
      <c r="K805" t="s">
        <v>1344</v>
      </c>
    </row>
    <row r="806" spans="1:11" x14ac:dyDescent="0.35">
      <c r="A806" t="s">
        <v>832</v>
      </c>
      <c r="B806" s="2">
        <v>46135</v>
      </c>
      <c r="C806" t="s">
        <v>19</v>
      </c>
      <c r="D806" t="s">
        <v>20</v>
      </c>
      <c r="E806" t="s">
        <v>43</v>
      </c>
      <c r="F806">
        <v>9</v>
      </c>
      <c r="G806" t="s">
        <v>26</v>
      </c>
      <c r="H806" s="2">
        <v>46136</v>
      </c>
      <c r="I806" s="2"/>
      <c r="K806" t="s">
        <v>26</v>
      </c>
    </row>
    <row r="807" spans="1:11" x14ac:dyDescent="0.35">
      <c r="A807" t="s">
        <v>833</v>
      </c>
      <c r="B807" s="2">
        <v>46167</v>
      </c>
      <c r="C807" t="s">
        <v>34</v>
      </c>
      <c r="D807" t="s">
        <v>35</v>
      </c>
      <c r="E807" t="s">
        <v>32</v>
      </c>
      <c r="F807">
        <v>28</v>
      </c>
      <c r="G807" t="s">
        <v>62</v>
      </c>
      <c r="H807" s="2">
        <v>46170</v>
      </c>
      <c r="I807" s="2">
        <v>46173</v>
      </c>
      <c r="J807">
        <v>3</v>
      </c>
      <c r="K807" t="s">
        <v>62</v>
      </c>
    </row>
    <row r="808" spans="1:11" x14ac:dyDescent="0.35">
      <c r="A808" t="s">
        <v>834</v>
      </c>
      <c r="B808" s="2">
        <v>46192</v>
      </c>
      <c r="C808" t="s">
        <v>10</v>
      </c>
      <c r="D808" t="s">
        <v>11</v>
      </c>
      <c r="E808" t="s">
        <v>46</v>
      </c>
      <c r="F808">
        <v>7</v>
      </c>
      <c r="G808" t="s">
        <v>13</v>
      </c>
      <c r="H808" s="2">
        <v>46196</v>
      </c>
      <c r="I808" s="2">
        <v>46196</v>
      </c>
      <c r="J808">
        <v>0</v>
      </c>
      <c r="K808" t="s">
        <v>1344</v>
      </c>
    </row>
    <row r="809" spans="1:11" x14ac:dyDescent="0.35">
      <c r="A809" t="s">
        <v>835</v>
      </c>
      <c r="B809" s="2">
        <v>46187</v>
      </c>
      <c r="C809" t="s">
        <v>15</v>
      </c>
      <c r="D809" t="s">
        <v>16</v>
      </c>
      <c r="E809" t="s">
        <v>22</v>
      </c>
      <c r="F809">
        <v>9</v>
      </c>
      <c r="G809" t="s">
        <v>13</v>
      </c>
      <c r="H809" s="2">
        <v>46189</v>
      </c>
      <c r="I809" s="2">
        <v>46189</v>
      </c>
      <c r="J809">
        <v>0</v>
      </c>
      <c r="K809" t="s">
        <v>1344</v>
      </c>
    </row>
    <row r="810" spans="1:11" x14ac:dyDescent="0.35">
      <c r="A810" t="s">
        <v>836</v>
      </c>
      <c r="B810" s="2">
        <v>46128</v>
      </c>
      <c r="C810" t="s">
        <v>10</v>
      </c>
      <c r="D810" t="s">
        <v>11</v>
      </c>
      <c r="E810" t="s">
        <v>22</v>
      </c>
      <c r="F810">
        <v>13</v>
      </c>
      <c r="G810" t="s">
        <v>26</v>
      </c>
      <c r="H810" s="2">
        <v>46130</v>
      </c>
      <c r="I810" s="2"/>
      <c r="K810" t="s">
        <v>26</v>
      </c>
    </row>
    <row r="811" spans="1:11" x14ac:dyDescent="0.35">
      <c r="A811" t="s">
        <v>837</v>
      </c>
      <c r="B811" s="2">
        <v>46120</v>
      </c>
      <c r="C811" t="s">
        <v>34</v>
      </c>
      <c r="D811" t="s">
        <v>35</v>
      </c>
      <c r="E811" t="s">
        <v>43</v>
      </c>
      <c r="F811">
        <v>18</v>
      </c>
      <c r="G811" t="s">
        <v>13</v>
      </c>
      <c r="H811" s="2">
        <v>46123</v>
      </c>
      <c r="I811" s="2">
        <v>46123</v>
      </c>
      <c r="J811">
        <v>0</v>
      </c>
      <c r="K811" t="s">
        <v>1344</v>
      </c>
    </row>
    <row r="812" spans="1:11" x14ac:dyDescent="0.35">
      <c r="A812" t="s">
        <v>838</v>
      </c>
      <c r="B812" s="2">
        <v>46116</v>
      </c>
      <c r="C812" t="s">
        <v>19</v>
      </c>
      <c r="D812" t="s">
        <v>20</v>
      </c>
      <c r="E812" t="s">
        <v>46</v>
      </c>
      <c r="F812">
        <v>5</v>
      </c>
      <c r="G812" t="s">
        <v>26</v>
      </c>
      <c r="H812" s="2">
        <v>46118</v>
      </c>
      <c r="I812" s="2"/>
      <c r="K812" t="s">
        <v>26</v>
      </c>
    </row>
    <row r="813" spans="1:11" x14ac:dyDescent="0.35">
      <c r="A813" t="s">
        <v>839</v>
      </c>
      <c r="B813" s="2">
        <v>46116</v>
      </c>
      <c r="C813" t="s">
        <v>19</v>
      </c>
      <c r="D813" t="s">
        <v>20</v>
      </c>
      <c r="E813" t="s">
        <v>12</v>
      </c>
      <c r="F813">
        <v>13</v>
      </c>
      <c r="G813" t="s">
        <v>13</v>
      </c>
      <c r="H813" s="2">
        <v>46120</v>
      </c>
      <c r="I813" s="2">
        <v>46119</v>
      </c>
      <c r="J813">
        <v>-1</v>
      </c>
      <c r="K813" t="s">
        <v>1344</v>
      </c>
    </row>
    <row r="814" spans="1:11" x14ac:dyDescent="0.35">
      <c r="A814" t="s">
        <v>840</v>
      </c>
      <c r="B814" s="2">
        <v>46168</v>
      </c>
      <c r="C814" t="s">
        <v>34</v>
      </c>
      <c r="D814" t="s">
        <v>35</v>
      </c>
      <c r="E814" t="s">
        <v>55</v>
      </c>
      <c r="F814">
        <v>4</v>
      </c>
      <c r="G814" t="s">
        <v>13</v>
      </c>
      <c r="H814" s="2">
        <v>46171</v>
      </c>
      <c r="I814" s="2">
        <v>46170</v>
      </c>
      <c r="J814">
        <v>-1</v>
      </c>
      <c r="K814" t="s">
        <v>1344</v>
      </c>
    </row>
    <row r="815" spans="1:11" x14ac:dyDescent="0.35">
      <c r="A815" t="s">
        <v>841</v>
      </c>
      <c r="B815" s="2">
        <v>46137</v>
      </c>
      <c r="C815" t="s">
        <v>15</v>
      </c>
      <c r="D815" t="s">
        <v>16</v>
      </c>
      <c r="E815" t="s">
        <v>12</v>
      </c>
      <c r="F815">
        <v>2</v>
      </c>
      <c r="G815" t="s">
        <v>62</v>
      </c>
      <c r="H815" s="2">
        <v>46139</v>
      </c>
      <c r="I815" s="2">
        <v>46142</v>
      </c>
      <c r="J815">
        <v>3</v>
      </c>
      <c r="K815" t="s">
        <v>62</v>
      </c>
    </row>
    <row r="816" spans="1:11" x14ac:dyDescent="0.35">
      <c r="A816" t="s">
        <v>842</v>
      </c>
      <c r="B816" s="2">
        <v>46179</v>
      </c>
      <c r="C816" t="s">
        <v>19</v>
      </c>
      <c r="D816" t="s">
        <v>20</v>
      </c>
      <c r="E816" t="s">
        <v>17</v>
      </c>
      <c r="F816">
        <v>16</v>
      </c>
      <c r="G816" t="s">
        <v>13</v>
      </c>
      <c r="H816" s="2">
        <v>46180</v>
      </c>
      <c r="I816" s="2">
        <v>46180</v>
      </c>
      <c r="J816">
        <v>0</v>
      </c>
      <c r="K816" t="s">
        <v>1344</v>
      </c>
    </row>
    <row r="817" spans="1:11" x14ac:dyDescent="0.35">
      <c r="A817" t="s">
        <v>843</v>
      </c>
      <c r="B817" s="2">
        <v>46179</v>
      </c>
      <c r="C817" t="s">
        <v>19</v>
      </c>
      <c r="D817" t="s">
        <v>20</v>
      </c>
      <c r="E817" t="s">
        <v>55</v>
      </c>
      <c r="F817">
        <v>9</v>
      </c>
      <c r="G817" t="s">
        <v>26</v>
      </c>
      <c r="H817" s="2">
        <v>46180</v>
      </c>
      <c r="I817" s="2"/>
      <c r="K817" t="s">
        <v>26</v>
      </c>
    </row>
    <row r="818" spans="1:11" x14ac:dyDescent="0.35">
      <c r="A818" t="s">
        <v>844</v>
      </c>
      <c r="B818" s="2">
        <v>46139</v>
      </c>
      <c r="C818" t="s">
        <v>15</v>
      </c>
      <c r="D818" t="s">
        <v>16</v>
      </c>
      <c r="E818" t="s">
        <v>32</v>
      </c>
      <c r="F818">
        <v>9</v>
      </c>
      <c r="G818" t="s">
        <v>13</v>
      </c>
      <c r="H818" s="2">
        <v>46143</v>
      </c>
      <c r="I818" s="2">
        <v>46143</v>
      </c>
      <c r="J818">
        <v>0</v>
      </c>
      <c r="K818" t="s">
        <v>1344</v>
      </c>
    </row>
    <row r="819" spans="1:11" x14ac:dyDescent="0.35">
      <c r="A819" t="s">
        <v>845</v>
      </c>
      <c r="B819" s="2">
        <v>46144</v>
      </c>
      <c r="C819" t="s">
        <v>15</v>
      </c>
      <c r="D819" t="s">
        <v>16</v>
      </c>
      <c r="E819" t="s">
        <v>24</v>
      </c>
      <c r="F819">
        <v>6</v>
      </c>
      <c r="G819" t="s">
        <v>13</v>
      </c>
      <c r="H819" s="2">
        <v>46146</v>
      </c>
      <c r="I819" s="2">
        <v>46146</v>
      </c>
      <c r="J819">
        <v>0</v>
      </c>
      <c r="K819" t="s">
        <v>1344</v>
      </c>
    </row>
    <row r="820" spans="1:11" x14ac:dyDescent="0.35">
      <c r="A820" t="s">
        <v>846</v>
      </c>
      <c r="B820" s="2">
        <v>46162</v>
      </c>
      <c r="C820" t="s">
        <v>19</v>
      </c>
      <c r="D820" t="s">
        <v>20</v>
      </c>
      <c r="E820" t="s">
        <v>55</v>
      </c>
      <c r="F820">
        <v>11</v>
      </c>
      <c r="G820" t="s">
        <v>13</v>
      </c>
      <c r="H820" s="2">
        <v>46166</v>
      </c>
      <c r="I820" s="2">
        <v>46166</v>
      </c>
      <c r="J820">
        <v>0</v>
      </c>
      <c r="K820" t="s">
        <v>1344</v>
      </c>
    </row>
    <row r="821" spans="1:11" x14ac:dyDescent="0.35">
      <c r="A821" t="s">
        <v>847</v>
      </c>
      <c r="B821" s="2">
        <v>46173</v>
      </c>
      <c r="C821" t="s">
        <v>15</v>
      </c>
      <c r="D821" t="s">
        <v>16</v>
      </c>
      <c r="E821" t="s">
        <v>24</v>
      </c>
      <c r="F821">
        <v>22</v>
      </c>
      <c r="G821" t="s">
        <v>13</v>
      </c>
      <c r="H821" s="2">
        <v>46176</v>
      </c>
      <c r="I821" s="2">
        <v>46176</v>
      </c>
      <c r="J821">
        <v>0</v>
      </c>
      <c r="K821" t="s">
        <v>1344</v>
      </c>
    </row>
    <row r="822" spans="1:11" x14ac:dyDescent="0.35">
      <c r="A822" t="s">
        <v>848</v>
      </c>
      <c r="B822" s="2">
        <v>46163</v>
      </c>
      <c r="C822" t="s">
        <v>19</v>
      </c>
      <c r="D822" t="s">
        <v>20</v>
      </c>
      <c r="E822" t="s">
        <v>22</v>
      </c>
      <c r="F822">
        <v>24</v>
      </c>
      <c r="G822" t="s">
        <v>13</v>
      </c>
      <c r="H822" s="2">
        <v>46164</v>
      </c>
      <c r="I822" s="2">
        <v>46163</v>
      </c>
      <c r="J822">
        <v>-1</v>
      </c>
      <c r="K822" t="s">
        <v>1344</v>
      </c>
    </row>
    <row r="823" spans="1:11" x14ac:dyDescent="0.35">
      <c r="A823" t="s">
        <v>849</v>
      </c>
      <c r="B823" s="2">
        <v>46131</v>
      </c>
      <c r="C823" t="s">
        <v>34</v>
      </c>
      <c r="D823" t="s">
        <v>35</v>
      </c>
      <c r="E823" t="s">
        <v>24</v>
      </c>
      <c r="F823">
        <v>22</v>
      </c>
      <c r="G823" t="s">
        <v>13</v>
      </c>
      <c r="H823" s="2">
        <v>46134</v>
      </c>
      <c r="I823" s="2">
        <v>46133</v>
      </c>
      <c r="J823">
        <v>-1</v>
      </c>
      <c r="K823" t="s">
        <v>1344</v>
      </c>
    </row>
    <row r="824" spans="1:11" x14ac:dyDescent="0.35">
      <c r="A824" t="s">
        <v>850</v>
      </c>
      <c r="B824" s="2">
        <v>46133</v>
      </c>
      <c r="C824" t="s">
        <v>15</v>
      </c>
      <c r="D824" t="s">
        <v>16</v>
      </c>
      <c r="E824" t="s">
        <v>22</v>
      </c>
      <c r="F824">
        <v>1</v>
      </c>
      <c r="G824" t="s">
        <v>13</v>
      </c>
      <c r="H824" s="2">
        <v>46135</v>
      </c>
      <c r="I824" s="2">
        <v>46134</v>
      </c>
      <c r="J824">
        <v>-1</v>
      </c>
      <c r="K824" t="s">
        <v>1344</v>
      </c>
    </row>
    <row r="825" spans="1:11" x14ac:dyDescent="0.35">
      <c r="A825" t="s">
        <v>851</v>
      </c>
      <c r="B825" s="2">
        <v>46117</v>
      </c>
      <c r="C825" t="s">
        <v>19</v>
      </c>
      <c r="D825" t="s">
        <v>20</v>
      </c>
      <c r="E825" t="s">
        <v>46</v>
      </c>
      <c r="F825">
        <v>4</v>
      </c>
      <c r="G825" t="s">
        <v>13</v>
      </c>
      <c r="H825" s="2">
        <v>46121</v>
      </c>
      <c r="I825" s="2">
        <v>46121</v>
      </c>
      <c r="J825">
        <v>0</v>
      </c>
      <c r="K825" t="s">
        <v>1344</v>
      </c>
    </row>
    <row r="826" spans="1:11" x14ac:dyDescent="0.35">
      <c r="A826" t="s">
        <v>852</v>
      </c>
      <c r="B826" s="2">
        <v>46194</v>
      </c>
      <c r="C826" t="s">
        <v>34</v>
      </c>
      <c r="D826" t="s">
        <v>35</v>
      </c>
      <c r="E826" t="s">
        <v>46</v>
      </c>
      <c r="F826">
        <v>13</v>
      </c>
      <c r="G826" t="s">
        <v>26</v>
      </c>
      <c r="H826" s="2">
        <v>46198</v>
      </c>
      <c r="I826" s="2"/>
      <c r="K826" t="s">
        <v>26</v>
      </c>
    </row>
    <row r="827" spans="1:11" x14ac:dyDescent="0.35">
      <c r="A827" t="s">
        <v>853</v>
      </c>
      <c r="B827" s="2">
        <v>46154</v>
      </c>
      <c r="C827" t="s">
        <v>34</v>
      </c>
      <c r="D827" t="s">
        <v>35</v>
      </c>
      <c r="E827" t="s">
        <v>43</v>
      </c>
      <c r="F827">
        <v>23</v>
      </c>
      <c r="G827" t="s">
        <v>13</v>
      </c>
      <c r="H827" s="2">
        <v>46158</v>
      </c>
      <c r="I827" s="2">
        <v>46158</v>
      </c>
      <c r="J827">
        <v>0</v>
      </c>
      <c r="K827" t="s">
        <v>1344</v>
      </c>
    </row>
    <row r="828" spans="1:11" x14ac:dyDescent="0.35">
      <c r="A828" t="s">
        <v>854</v>
      </c>
      <c r="B828" s="2">
        <v>46173</v>
      </c>
      <c r="C828" t="s">
        <v>15</v>
      </c>
      <c r="D828" t="s">
        <v>16</v>
      </c>
      <c r="E828" t="s">
        <v>43</v>
      </c>
      <c r="F828">
        <v>13</v>
      </c>
      <c r="G828" t="s">
        <v>13</v>
      </c>
      <c r="H828" s="2">
        <v>46176</v>
      </c>
      <c r="I828" s="2">
        <v>46176</v>
      </c>
      <c r="J828">
        <v>0</v>
      </c>
      <c r="K828" t="s">
        <v>1344</v>
      </c>
    </row>
    <row r="829" spans="1:11" x14ac:dyDescent="0.35">
      <c r="A829" t="s">
        <v>855</v>
      </c>
      <c r="B829" s="2">
        <v>46134</v>
      </c>
      <c r="C829" t="s">
        <v>15</v>
      </c>
      <c r="D829" t="s">
        <v>16</v>
      </c>
      <c r="E829" t="s">
        <v>32</v>
      </c>
      <c r="F829">
        <v>13</v>
      </c>
      <c r="G829" t="s">
        <v>13</v>
      </c>
      <c r="H829" s="2">
        <v>46135</v>
      </c>
      <c r="I829" s="2">
        <v>46134</v>
      </c>
      <c r="J829">
        <v>-1</v>
      </c>
      <c r="K829" t="s">
        <v>1344</v>
      </c>
    </row>
    <row r="830" spans="1:11" x14ac:dyDescent="0.35">
      <c r="A830" t="s">
        <v>856</v>
      </c>
      <c r="B830" s="2">
        <v>46133</v>
      </c>
      <c r="C830" t="s">
        <v>10</v>
      </c>
      <c r="D830" t="s">
        <v>11</v>
      </c>
      <c r="E830" t="s">
        <v>55</v>
      </c>
      <c r="F830">
        <v>2</v>
      </c>
      <c r="G830" t="s">
        <v>13</v>
      </c>
      <c r="H830" s="2">
        <v>46136</v>
      </c>
      <c r="I830" s="2">
        <v>46136</v>
      </c>
      <c r="J830">
        <v>0</v>
      </c>
      <c r="K830" t="s">
        <v>1344</v>
      </c>
    </row>
    <row r="831" spans="1:11" x14ac:dyDescent="0.35">
      <c r="A831" t="s">
        <v>857</v>
      </c>
      <c r="B831" s="2">
        <v>46182</v>
      </c>
      <c r="C831" t="s">
        <v>34</v>
      </c>
      <c r="D831" t="s">
        <v>35</v>
      </c>
      <c r="E831" t="s">
        <v>32</v>
      </c>
      <c r="F831">
        <v>9</v>
      </c>
      <c r="G831" t="s">
        <v>26</v>
      </c>
      <c r="H831" s="2">
        <v>46185</v>
      </c>
      <c r="I831" s="2"/>
      <c r="K831" t="s">
        <v>26</v>
      </c>
    </row>
    <row r="832" spans="1:11" x14ac:dyDescent="0.35">
      <c r="A832" t="s">
        <v>858</v>
      </c>
      <c r="B832" s="2">
        <v>46113</v>
      </c>
      <c r="C832" t="s">
        <v>10</v>
      </c>
      <c r="D832" t="s">
        <v>11</v>
      </c>
      <c r="E832" t="s">
        <v>22</v>
      </c>
      <c r="F832">
        <v>24</v>
      </c>
      <c r="G832" t="s">
        <v>13</v>
      </c>
      <c r="H832" s="2">
        <v>46115</v>
      </c>
      <c r="I832" s="2">
        <v>46115</v>
      </c>
      <c r="J832">
        <v>0</v>
      </c>
      <c r="K832" t="s">
        <v>1344</v>
      </c>
    </row>
    <row r="833" spans="1:11" x14ac:dyDescent="0.35">
      <c r="A833" t="s">
        <v>859</v>
      </c>
      <c r="B833" s="2">
        <v>46117</v>
      </c>
      <c r="C833" t="s">
        <v>19</v>
      </c>
      <c r="D833" t="s">
        <v>20</v>
      </c>
      <c r="E833" t="s">
        <v>32</v>
      </c>
      <c r="F833">
        <v>8</v>
      </c>
      <c r="G833" t="s">
        <v>13</v>
      </c>
      <c r="H833" s="2">
        <v>46119</v>
      </c>
      <c r="I833" s="2">
        <v>46118</v>
      </c>
      <c r="J833">
        <v>-1</v>
      </c>
      <c r="K833" t="s">
        <v>1344</v>
      </c>
    </row>
    <row r="834" spans="1:11" x14ac:dyDescent="0.35">
      <c r="A834" t="s">
        <v>860</v>
      </c>
      <c r="B834" s="2">
        <v>46124</v>
      </c>
      <c r="C834" t="s">
        <v>10</v>
      </c>
      <c r="D834" t="s">
        <v>11</v>
      </c>
      <c r="E834" t="s">
        <v>24</v>
      </c>
      <c r="F834">
        <v>7</v>
      </c>
      <c r="G834" t="s">
        <v>13</v>
      </c>
      <c r="H834" s="2">
        <v>46126</v>
      </c>
      <c r="I834" s="2">
        <v>46126</v>
      </c>
      <c r="J834">
        <v>0</v>
      </c>
      <c r="K834" t="s">
        <v>1344</v>
      </c>
    </row>
    <row r="835" spans="1:11" x14ac:dyDescent="0.35">
      <c r="A835" t="s">
        <v>861</v>
      </c>
      <c r="B835" s="2">
        <v>46202</v>
      </c>
      <c r="C835" t="s">
        <v>15</v>
      </c>
      <c r="D835" t="s">
        <v>16</v>
      </c>
      <c r="E835" t="s">
        <v>22</v>
      </c>
      <c r="F835">
        <v>4</v>
      </c>
      <c r="G835" t="s">
        <v>13</v>
      </c>
      <c r="H835" s="2">
        <v>46203</v>
      </c>
      <c r="I835" s="2">
        <v>46202</v>
      </c>
      <c r="J835">
        <v>-1</v>
      </c>
      <c r="K835" t="s">
        <v>1344</v>
      </c>
    </row>
    <row r="836" spans="1:11" x14ac:dyDescent="0.35">
      <c r="A836" t="s">
        <v>862</v>
      </c>
      <c r="B836" s="2">
        <v>46158</v>
      </c>
      <c r="C836" t="s">
        <v>34</v>
      </c>
      <c r="D836" t="s">
        <v>35</v>
      </c>
      <c r="E836" t="s">
        <v>43</v>
      </c>
      <c r="F836">
        <v>18</v>
      </c>
      <c r="G836" t="s">
        <v>26</v>
      </c>
      <c r="H836" s="2">
        <v>46159</v>
      </c>
      <c r="I836" s="2"/>
      <c r="K836" t="s">
        <v>26</v>
      </c>
    </row>
    <row r="837" spans="1:11" x14ac:dyDescent="0.35">
      <c r="A837" t="s">
        <v>863</v>
      </c>
      <c r="B837" s="2">
        <v>46146</v>
      </c>
      <c r="C837" t="s">
        <v>19</v>
      </c>
      <c r="D837" t="s">
        <v>20</v>
      </c>
      <c r="E837" t="s">
        <v>46</v>
      </c>
      <c r="F837">
        <v>3</v>
      </c>
      <c r="G837" t="s">
        <v>13</v>
      </c>
      <c r="H837" s="2">
        <v>46148</v>
      </c>
      <c r="I837" s="2">
        <v>46147</v>
      </c>
      <c r="J837">
        <v>-1</v>
      </c>
      <c r="K837" t="s">
        <v>1344</v>
      </c>
    </row>
    <row r="838" spans="1:11" x14ac:dyDescent="0.35">
      <c r="A838" t="s">
        <v>864</v>
      </c>
      <c r="B838" s="2">
        <v>46161</v>
      </c>
      <c r="C838" t="s">
        <v>19</v>
      </c>
      <c r="D838" t="s">
        <v>20</v>
      </c>
      <c r="E838" t="s">
        <v>43</v>
      </c>
      <c r="F838">
        <v>28</v>
      </c>
      <c r="G838" t="s">
        <v>26</v>
      </c>
      <c r="H838" s="2">
        <v>46163</v>
      </c>
      <c r="I838" s="2"/>
      <c r="K838" t="s">
        <v>26</v>
      </c>
    </row>
    <row r="839" spans="1:11" x14ac:dyDescent="0.35">
      <c r="A839" t="s">
        <v>865</v>
      </c>
      <c r="B839" s="2">
        <v>46190</v>
      </c>
      <c r="C839" t="s">
        <v>10</v>
      </c>
      <c r="D839" t="s">
        <v>11</v>
      </c>
      <c r="E839" t="s">
        <v>55</v>
      </c>
      <c r="F839">
        <v>6</v>
      </c>
      <c r="G839" t="s">
        <v>13</v>
      </c>
      <c r="H839" s="2">
        <v>46191</v>
      </c>
      <c r="I839" s="2">
        <v>46191</v>
      </c>
      <c r="J839">
        <v>0</v>
      </c>
      <c r="K839" t="s">
        <v>1344</v>
      </c>
    </row>
    <row r="840" spans="1:11" x14ac:dyDescent="0.35">
      <c r="A840" t="s">
        <v>866</v>
      </c>
      <c r="B840" s="2">
        <v>46202</v>
      </c>
      <c r="C840" t="s">
        <v>15</v>
      </c>
      <c r="D840" t="s">
        <v>16</v>
      </c>
      <c r="E840" t="s">
        <v>22</v>
      </c>
      <c r="F840">
        <v>12</v>
      </c>
      <c r="G840" t="s">
        <v>13</v>
      </c>
      <c r="H840" s="2">
        <v>46206</v>
      </c>
      <c r="I840" s="2">
        <v>46205</v>
      </c>
      <c r="J840">
        <v>-1</v>
      </c>
      <c r="K840" t="s">
        <v>1344</v>
      </c>
    </row>
    <row r="841" spans="1:11" x14ac:dyDescent="0.35">
      <c r="A841" t="s">
        <v>867</v>
      </c>
      <c r="B841" s="2">
        <v>46157</v>
      </c>
      <c r="C841" t="s">
        <v>34</v>
      </c>
      <c r="D841" t="s">
        <v>35</v>
      </c>
      <c r="E841" t="s">
        <v>22</v>
      </c>
      <c r="F841">
        <v>12</v>
      </c>
      <c r="G841" t="s">
        <v>62</v>
      </c>
      <c r="H841" s="2">
        <v>46158</v>
      </c>
      <c r="I841" s="2">
        <v>46161</v>
      </c>
      <c r="J841">
        <v>3</v>
      </c>
      <c r="K841" t="s">
        <v>62</v>
      </c>
    </row>
    <row r="842" spans="1:11" x14ac:dyDescent="0.35">
      <c r="A842" t="s">
        <v>868</v>
      </c>
      <c r="B842" s="2">
        <v>46139</v>
      </c>
      <c r="C842" t="s">
        <v>10</v>
      </c>
      <c r="D842" t="s">
        <v>11</v>
      </c>
      <c r="E842" t="s">
        <v>24</v>
      </c>
      <c r="F842">
        <v>21</v>
      </c>
      <c r="G842" t="s">
        <v>13</v>
      </c>
      <c r="H842" s="2">
        <v>46140</v>
      </c>
      <c r="I842" s="2">
        <v>46139</v>
      </c>
      <c r="J842">
        <v>-1</v>
      </c>
      <c r="K842" t="s">
        <v>1344</v>
      </c>
    </row>
    <row r="843" spans="1:11" x14ac:dyDescent="0.35">
      <c r="A843" t="s">
        <v>869</v>
      </c>
      <c r="B843" s="2">
        <v>46185</v>
      </c>
      <c r="C843" t="s">
        <v>19</v>
      </c>
      <c r="D843" t="s">
        <v>20</v>
      </c>
      <c r="E843" t="s">
        <v>55</v>
      </c>
      <c r="F843">
        <v>28</v>
      </c>
      <c r="G843" t="s">
        <v>13</v>
      </c>
      <c r="H843" s="2">
        <v>46186</v>
      </c>
      <c r="I843" s="2">
        <v>46186</v>
      </c>
      <c r="J843">
        <v>0</v>
      </c>
      <c r="K843" t="s">
        <v>1344</v>
      </c>
    </row>
    <row r="844" spans="1:11" x14ac:dyDescent="0.35">
      <c r="A844" t="s">
        <v>870</v>
      </c>
      <c r="B844" s="2">
        <v>46138</v>
      </c>
      <c r="C844" t="s">
        <v>10</v>
      </c>
      <c r="D844" t="s">
        <v>11</v>
      </c>
      <c r="E844" t="s">
        <v>46</v>
      </c>
      <c r="F844">
        <v>8</v>
      </c>
      <c r="G844" t="s">
        <v>13</v>
      </c>
      <c r="H844" s="2">
        <v>46140</v>
      </c>
      <c r="I844" s="2">
        <v>46139</v>
      </c>
      <c r="J844">
        <v>-1</v>
      </c>
      <c r="K844" t="s">
        <v>1344</v>
      </c>
    </row>
    <row r="845" spans="1:11" x14ac:dyDescent="0.35">
      <c r="A845" t="s">
        <v>871</v>
      </c>
      <c r="B845" s="2">
        <v>46159</v>
      </c>
      <c r="C845" t="s">
        <v>19</v>
      </c>
      <c r="D845" t="s">
        <v>20</v>
      </c>
      <c r="E845" t="s">
        <v>12</v>
      </c>
      <c r="F845">
        <v>22</v>
      </c>
      <c r="G845" t="s">
        <v>13</v>
      </c>
      <c r="H845" s="2">
        <v>46163</v>
      </c>
      <c r="I845" s="2">
        <v>46163</v>
      </c>
      <c r="J845">
        <v>0</v>
      </c>
      <c r="K845" t="s">
        <v>1344</v>
      </c>
    </row>
    <row r="846" spans="1:11" x14ac:dyDescent="0.35">
      <c r="A846" t="s">
        <v>872</v>
      </c>
      <c r="B846" s="2">
        <v>46198</v>
      </c>
      <c r="C846" t="s">
        <v>19</v>
      </c>
      <c r="D846" t="s">
        <v>20</v>
      </c>
      <c r="E846" t="s">
        <v>22</v>
      </c>
      <c r="F846">
        <v>22</v>
      </c>
      <c r="G846" t="s">
        <v>13</v>
      </c>
      <c r="H846" s="2">
        <v>46199</v>
      </c>
      <c r="I846" s="2">
        <v>46198</v>
      </c>
      <c r="J846">
        <v>-1</v>
      </c>
      <c r="K846" t="s">
        <v>1344</v>
      </c>
    </row>
    <row r="847" spans="1:11" x14ac:dyDescent="0.35">
      <c r="A847" t="s">
        <v>873</v>
      </c>
      <c r="B847" s="2">
        <v>46168</v>
      </c>
      <c r="C847" t="s">
        <v>15</v>
      </c>
      <c r="D847" t="s">
        <v>16</v>
      </c>
      <c r="E847" t="s">
        <v>22</v>
      </c>
      <c r="F847">
        <v>1</v>
      </c>
      <c r="G847" t="s">
        <v>13</v>
      </c>
      <c r="H847" s="2">
        <v>46170</v>
      </c>
      <c r="I847" s="2">
        <v>46169</v>
      </c>
      <c r="J847">
        <v>-1</v>
      </c>
      <c r="K847" t="s">
        <v>1344</v>
      </c>
    </row>
    <row r="848" spans="1:11" x14ac:dyDescent="0.35">
      <c r="A848" t="s">
        <v>874</v>
      </c>
      <c r="B848" s="2">
        <v>46175</v>
      </c>
      <c r="C848" t="s">
        <v>34</v>
      </c>
      <c r="D848" t="s">
        <v>35</v>
      </c>
      <c r="E848" t="s">
        <v>24</v>
      </c>
      <c r="F848">
        <v>4</v>
      </c>
      <c r="G848" t="s">
        <v>13</v>
      </c>
      <c r="H848" s="2">
        <v>46178</v>
      </c>
      <c r="I848" s="2">
        <v>46177</v>
      </c>
      <c r="J848">
        <v>-1</v>
      </c>
      <c r="K848" t="s">
        <v>1344</v>
      </c>
    </row>
    <row r="849" spans="1:11" x14ac:dyDescent="0.35">
      <c r="A849" t="s">
        <v>875</v>
      </c>
      <c r="B849" s="2">
        <v>46160</v>
      </c>
      <c r="C849" t="s">
        <v>15</v>
      </c>
      <c r="D849" t="s">
        <v>16</v>
      </c>
      <c r="E849" t="s">
        <v>32</v>
      </c>
      <c r="F849">
        <v>21</v>
      </c>
      <c r="G849" t="s">
        <v>13</v>
      </c>
      <c r="H849" s="2">
        <v>46163</v>
      </c>
      <c r="I849" s="2">
        <v>46163</v>
      </c>
      <c r="J849">
        <v>0</v>
      </c>
      <c r="K849" t="s">
        <v>1344</v>
      </c>
    </row>
    <row r="850" spans="1:11" x14ac:dyDescent="0.35">
      <c r="A850" t="s">
        <v>876</v>
      </c>
      <c r="B850" s="2">
        <v>46173</v>
      </c>
      <c r="C850" t="s">
        <v>15</v>
      </c>
      <c r="D850" t="s">
        <v>16</v>
      </c>
      <c r="E850" t="s">
        <v>17</v>
      </c>
      <c r="F850">
        <v>28</v>
      </c>
      <c r="G850" t="s">
        <v>13</v>
      </c>
      <c r="H850" s="2">
        <v>46174</v>
      </c>
      <c r="I850" s="2">
        <v>46174</v>
      </c>
      <c r="J850">
        <v>0</v>
      </c>
      <c r="K850" t="s">
        <v>1344</v>
      </c>
    </row>
    <row r="851" spans="1:11" x14ac:dyDescent="0.35">
      <c r="A851" t="s">
        <v>877</v>
      </c>
      <c r="B851" s="2">
        <v>46193</v>
      </c>
      <c r="C851" t="s">
        <v>19</v>
      </c>
      <c r="D851" t="s">
        <v>20</v>
      </c>
      <c r="E851" t="s">
        <v>46</v>
      </c>
      <c r="F851">
        <v>11</v>
      </c>
      <c r="G851" t="s">
        <v>13</v>
      </c>
      <c r="H851" s="2">
        <v>46196</v>
      </c>
      <c r="I851" s="2">
        <v>46195</v>
      </c>
      <c r="J851">
        <v>-1</v>
      </c>
      <c r="K851" t="s">
        <v>1344</v>
      </c>
    </row>
    <row r="852" spans="1:11" x14ac:dyDescent="0.35">
      <c r="A852" t="s">
        <v>878</v>
      </c>
      <c r="B852" s="2">
        <v>46138</v>
      </c>
      <c r="C852" t="s">
        <v>34</v>
      </c>
      <c r="D852" t="s">
        <v>35</v>
      </c>
      <c r="E852" t="s">
        <v>43</v>
      </c>
      <c r="F852">
        <v>3</v>
      </c>
      <c r="G852" t="s">
        <v>13</v>
      </c>
      <c r="H852" s="2">
        <v>46142</v>
      </c>
      <c r="I852" s="2">
        <v>46142</v>
      </c>
      <c r="J852">
        <v>0</v>
      </c>
      <c r="K852" t="s">
        <v>1344</v>
      </c>
    </row>
    <row r="853" spans="1:11" x14ac:dyDescent="0.35">
      <c r="A853" t="s">
        <v>879</v>
      </c>
      <c r="B853" s="2">
        <v>46148</v>
      </c>
      <c r="C853" t="s">
        <v>34</v>
      </c>
      <c r="D853" t="s">
        <v>35</v>
      </c>
      <c r="E853" t="s">
        <v>55</v>
      </c>
      <c r="F853">
        <v>13</v>
      </c>
      <c r="G853" t="s">
        <v>13</v>
      </c>
      <c r="H853" s="2">
        <v>46151</v>
      </c>
      <c r="I853" s="2">
        <v>46150</v>
      </c>
      <c r="J853">
        <v>-1</v>
      </c>
      <c r="K853" t="s">
        <v>1344</v>
      </c>
    </row>
    <row r="854" spans="1:11" x14ac:dyDescent="0.35">
      <c r="A854" t="s">
        <v>880</v>
      </c>
      <c r="B854" s="2">
        <v>46113</v>
      </c>
      <c r="C854" t="s">
        <v>15</v>
      </c>
      <c r="D854" t="s">
        <v>16</v>
      </c>
      <c r="E854" t="s">
        <v>22</v>
      </c>
      <c r="F854">
        <v>25</v>
      </c>
      <c r="G854" t="s">
        <v>62</v>
      </c>
      <c r="H854" s="2">
        <v>46116</v>
      </c>
      <c r="I854" s="2">
        <v>46119</v>
      </c>
      <c r="J854">
        <v>3</v>
      </c>
      <c r="K854" t="s">
        <v>62</v>
      </c>
    </row>
    <row r="855" spans="1:11" x14ac:dyDescent="0.35">
      <c r="A855" t="s">
        <v>881</v>
      </c>
      <c r="B855" s="2">
        <v>46120</v>
      </c>
      <c r="C855" t="s">
        <v>34</v>
      </c>
      <c r="D855" t="s">
        <v>35</v>
      </c>
      <c r="E855" t="s">
        <v>22</v>
      </c>
      <c r="F855">
        <v>17</v>
      </c>
      <c r="G855" t="s">
        <v>13</v>
      </c>
      <c r="H855" s="2">
        <v>46124</v>
      </c>
      <c r="I855" s="2">
        <v>46123</v>
      </c>
      <c r="J855">
        <v>-1</v>
      </c>
      <c r="K855" t="s">
        <v>1344</v>
      </c>
    </row>
    <row r="856" spans="1:11" x14ac:dyDescent="0.35">
      <c r="A856" t="s">
        <v>882</v>
      </c>
      <c r="B856" s="2">
        <v>46164</v>
      </c>
      <c r="C856" t="s">
        <v>15</v>
      </c>
      <c r="D856" t="s">
        <v>16</v>
      </c>
      <c r="E856" t="s">
        <v>43</v>
      </c>
      <c r="F856">
        <v>22</v>
      </c>
      <c r="G856" t="s">
        <v>26</v>
      </c>
      <c r="H856" s="2">
        <v>46165</v>
      </c>
      <c r="I856" s="2"/>
      <c r="K856" t="s">
        <v>26</v>
      </c>
    </row>
    <row r="857" spans="1:11" x14ac:dyDescent="0.35">
      <c r="A857" t="s">
        <v>883</v>
      </c>
      <c r="B857" s="2">
        <v>46191</v>
      </c>
      <c r="C857" t="s">
        <v>15</v>
      </c>
      <c r="D857" t="s">
        <v>16</v>
      </c>
      <c r="E857" t="s">
        <v>46</v>
      </c>
      <c r="F857">
        <v>22</v>
      </c>
      <c r="G857" t="s">
        <v>13</v>
      </c>
      <c r="H857" s="2">
        <v>46192</v>
      </c>
      <c r="I857" s="2">
        <v>46192</v>
      </c>
      <c r="J857">
        <v>0</v>
      </c>
      <c r="K857" t="s">
        <v>1344</v>
      </c>
    </row>
    <row r="858" spans="1:11" x14ac:dyDescent="0.35">
      <c r="A858" t="s">
        <v>884</v>
      </c>
      <c r="B858" s="2">
        <v>46159</v>
      </c>
      <c r="C858" t="s">
        <v>10</v>
      </c>
      <c r="D858" t="s">
        <v>11</v>
      </c>
      <c r="E858" t="s">
        <v>17</v>
      </c>
      <c r="F858">
        <v>10</v>
      </c>
      <c r="G858" t="s">
        <v>13</v>
      </c>
      <c r="H858" s="2">
        <v>46163</v>
      </c>
      <c r="I858" s="2">
        <v>46162</v>
      </c>
      <c r="J858">
        <v>-1</v>
      </c>
      <c r="K858" t="s">
        <v>1344</v>
      </c>
    </row>
    <row r="859" spans="1:11" x14ac:dyDescent="0.35">
      <c r="A859" t="s">
        <v>885</v>
      </c>
      <c r="B859" s="2">
        <v>46168</v>
      </c>
      <c r="C859" t="s">
        <v>15</v>
      </c>
      <c r="D859" t="s">
        <v>16</v>
      </c>
      <c r="E859" t="s">
        <v>32</v>
      </c>
      <c r="F859">
        <v>21</v>
      </c>
      <c r="G859" t="s">
        <v>13</v>
      </c>
      <c r="H859" s="2">
        <v>46172</v>
      </c>
      <c r="I859" s="2">
        <v>46171</v>
      </c>
      <c r="J859">
        <v>-1</v>
      </c>
      <c r="K859" t="s">
        <v>1344</v>
      </c>
    </row>
    <row r="860" spans="1:11" x14ac:dyDescent="0.35">
      <c r="A860" t="s">
        <v>886</v>
      </c>
      <c r="B860" s="2">
        <v>46198</v>
      </c>
      <c r="C860" t="s">
        <v>10</v>
      </c>
      <c r="D860" t="s">
        <v>11</v>
      </c>
      <c r="E860" t="s">
        <v>22</v>
      </c>
      <c r="F860">
        <v>12</v>
      </c>
      <c r="G860" t="s">
        <v>13</v>
      </c>
      <c r="H860" s="2">
        <v>46202</v>
      </c>
      <c r="I860" s="2">
        <v>46201</v>
      </c>
      <c r="J860">
        <v>-1</v>
      </c>
      <c r="K860" t="s">
        <v>1344</v>
      </c>
    </row>
    <row r="861" spans="1:11" x14ac:dyDescent="0.35">
      <c r="A861" t="s">
        <v>887</v>
      </c>
      <c r="B861" s="2">
        <v>46126</v>
      </c>
      <c r="C861" t="s">
        <v>15</v>
      </c>
      <c r="D861" t="s">
        <v>16</v>
      </c>
      <c r="E861" t="s">
        <v>17</v>
      </c>
      <c r="F861">
        <v>15</v>
      </c>
      <c r="G861" t="s">
        <v>13</v>
      </c>
      <c r="H861" s="2">
        <v>46129</v>
      </c>
      <c r="I861" s="2">
        <v>46128</v>
      </c>
      <c r="J861">
        <v>-1</v>
      </c>
      <c r="K861" t="s">
        <v>1344</v>
      </c>
    </row>
    <row r="862" spans="1:11" x14ac:dyDescent="0.35">
      <c r="A862" t="s">
        <v>888</v>
      </c>
      <c r="B862" s="2">
        <v>46202</v>
      </c>
      <c r="C862" t="s">
        <v>15</v>
      </c>
      <c r="D862" t="s">
        <v>16</v>
      </c>
      <c r="E862" t="s">
        <v>46</v>
      </c>
      <c r="F862">
        <v>21</v>
      </c>
      <c r="G862" t="s">
        <v>13</v>
      </c>
      <c r="H862" s="2">
        <v>46206</v>
      </c>
      <c r="I862" s="2">
        <v>46206</v>
      </c>
      <c r="J862">
        <v>0</v>
      </c>
      <c r="K862" t="s">
        <v>1344</v>
      </c>
    </row>
    <row r="863" spans="1:11" x14ac:dyDescent="0.35">
      <c r="A863" t="s">
        <v>889</v>
      </c>
      <c r="B863" s="2">
        <v>46140</v>
      </c>
      <c r="C863" t="s">
        <v>15</v>
      </c>
      <c r="D863" t="s">
        <v>16</v>
      </c>
      <c r="E863" t="s">
        <v>43</v>
      </c>
      <c r="F863">
        <v>10</v>
      </c>
      <c r="G863" t="s">
        <v>13</v>
      </c>
      <c r="H863" s="2">
        <v>46142</v>
      </c>
      <c r="I863" s="2">
        <v>46141</v>
      </c>
      <c r="J863">
        <v>-1</v>
      </c>
      <c r="K863" t="s">
        <v>1344</v>
      </c>
    </row>
    <row r="864" spans="1:11" x14ac:dyDescent="0.35">
      <c r="A864" t="s">
        <v>890</v>
      </c>
      <c r="B864" s="2">
        <v>46199</v>
      </c>
      <c r="C864" t="s">
        <v>10</v>
      </c>
      <c r="D864" t="s">
        <v>11</v>
      </c>
      <c r="E864" t="s">
        <v>24</v>
      </c>
      <c r="F864">
        <v>14</v>
      </c>
      <c r="G864" t="s">
        <v>62</v>
      </c>
      <c r="H864" s="2">
        <v>46202</v>
      </c>
      <c r="I864" s="2">
        <v>46205</v>
      </c>
      <c r="J864">
        <v>3</v>
      </c>
      <c r="K864" t="s">
        <v>62</v>
      </c>
    </row>
    <row r="865" spans="1:11" x14ac:dyDescent="0.35">
      <c r="A865" t="s">
        <v>891</v>
      </c>
      <c r="B865" s="2">
        <v>46190</v>
      </c>
      <c r="C865" t="s">
        <v>10</v>
      </c>
      <c r="D865" t="s">
        <v>11</v>
      </c>
      <c r="E865" t="s">
        <v>32</v>
      </c>
      <c r="F865">
        <v>13</v>
      </c>
      <c r="G865" t="s">
        <v>13</v>
      </c>
      <c r="H865" s="2">
        <v>46191</v>
      </c>
      <c r="I865" s="2">
        <v>46191</v>
      </c>
      <c r="J865">
        <v>0</v>
      </c>
      <c r="K865" t="s">
        <v>1344</v>
      </c>
    </row>
    <row r="866" spans="1:11" x14ac:dyDescent="0.35">
      <c r="A866" t="s">
        <v>892</v>
      </c>
      <c r="B866" s="2">
        <v>46200</v>
      </c>
      <c r="C866" t="s">
        <v>34</v>
      </c>
      <c r="D866" t="s">
        <v>35</v>
      </c>
      <c r="E866" t="s">
        <v>55</v>
      </c>
      <c r="F866">
        <v>5</v>
      </c>
      <c r="G866" t="s">
        <v>13</v>
      </c>
      <c r="H866" s="2">
        <v>46201</v>
      </c>
      <c r="I866" s="2">
        <v>46200</v>
      </c>
      <c r="J866">
        <v>-1</v>
      </c>
      <c r="K866" t="s">
        <v>1344</v>
      </c>
    </row>
    <row r="867" spans="1:11" x14ac:dyDescent="0.35">
      <c r="A867" t="s">
        <v>893</v>
      </c>
      <c r="B867" s="2">
        <v>46114</v>
      </c>
      <c r="C867" t="s">
        <v>34</v>
      </c>
      <c r="D867" t="s">
        <v>35</v>
      </c>
      <c r="E867" t="s">
        <v>22</v>
      </c>
      <c r="F867">
        <v>6</v>
      </c>
      <c r="G867" t="s">
        <v>13</v>
      </c>
      <c r="H867" s="2">
        <v>46115</v>
      </c>
      <c r="I867" s="2">
        <v>46115</v>
      </c>
      <c r="J867">
        <v>0</v>
      </c>
      <c r="K867" t="s">
        <v>1344</v>
      </c>
    </row>
    <row r="868" spans="1:11" x14ac:dyDescent="0.35">
      <c r="A868" t="s">
        <v>894</v>
      </c>
      <c r="B868" s="2">
        <v>46138</v>
      </c>
      <c r="C868" t="s">
        <v>10</v>
      </c>
      <c r="D868" t="s">
        <v>11</v>
      </c>
      <c r="E868" t="s">
        <v>46</v>
      </c>
      <c r="F868">
        <v>24</v>
      </c>
      <c r="G868" t="s">
        <v>13</v>
      </c>
      <c r="H868" s="2">
        <v>46141</v>
      </c>
      <c r="I868" s="2">
        <v>46141</v>
      </c>
      <c r="J868">
        <v>0</v>
      </c>
      <c r="K868" t="s">
        <v>1344</v>
      </c>
    </row>
    <row r="869" spans="1:11" x14ac:dyDescent="0.35">
      <c r="A869" t="s">
        <v>895</v>
      </c>
      <c r="B869" s="2">
        <v>46126</v>
      </c>
      <c r="C869" t="s">
        <v>15</v>
      </c>
      <c r="D869" t="s">
        <v>16</v>
      </c>
      <c r="E869" t="s">
        <v>24</v>
      </c>
      <c r="F869">
        <v>2</v>
      </c>
      <c r="G869" t="s">
        <v>13</v>
      </c>
      <c r="H869" s="2">
        <v>46128</v>
      </c>
      <c r="I869" s="2">
        <v>46128</v>
      </c>
      <c r="J869">
        <v>0</v>
      </c>
      <c r="K869" t="s">
        <v>1344</v>
      </c>
    </row>
    <row r="870" spans="1:11" x14ac:dyDescent="0.35">
      <c r="A870" t="s">
        <v>896</v>
      </c>
      <c r="B870" s="2">
        <v>46171</v>
      </c>
      <c r="C870" t="s">
        <v>34</v>
      </c>
      <c r="D870" t="s">
        <v>35</v>
      </c>
      <c r="E870" t="s">
        <v>55</v>
      </c>
      <c r="F870">
        <v>22</v>
      </c>
      <c r="G870" t="s">
        <v>13</v>
      </c>
      <c r="H870" s="2">
        <v>46175</v>
      </c>
      <c r="I870" s="2">
        <v>46174</v>
      </c>
      <c r="J870">
        <v>-1</v>
      </c>
      <c r="K870" t="s">
        <v>1344</v>
      </c>
    </row>
    <row r="871" spans="1:11" x14ac:dyDescent="0.35">
      <c r="A871" t="s">
        <v>897</v>
      </c>
      <c r="B871" s="2">
        <v>46168</v>
      </c>
      <c r="C871" t="s">
        <v>19</v>
      </c>
      <c r="D871" t="s">
        <v>20</v>
      </c>
      <c r="E871" t="s">
        <v>12</v>
      </c>
      <c r="F871">
        <v>17</v>
      </c>
      <c r="G871" t="s">
        <v>62</v>
      </c>
      <c r="H871" s="2">
        <v>46172</v>
      </c>
      <c r="I871" s="2">
        <v>46173</v>
      </c>
      <c r="J871">
        <v>1</v>
      </c>
      <c r="K871" t="s">
        <v>62</v>
      </c>
    </row>
    <row r="872" spans="1:11" x14ac:dyDescent="0.35">
      <c r="A872" t="s">
        <v>898</v>
      </c>
      <c r="B872" s="2">
        <v>46119</v>
      </c>
      <c r="C872" t="s">
        <v>10</v>
      </c>
      <c r="D872" t="s">
        <v>11</v>
      </c>
      <c r="E872" t="s">
        <v>46</v>
      </c>
      <c r="F872">
        <v>4</v>
      </c>
      <c r="G872" t="s">
        <v>26</v>
      </c>
      <c r="H872" s="2">
        <v>46120</v>
      </c>
      <c r="I872" s="2"/>
      <c r="K872" t="s">
        <v>26</v>
      </c>
    </row>
    <row r="873" spans="1:11" x14ac:dyDescent="0.35">
      <c r="A873" t="s">
        <v>899</v>
      </c>
      <c r="B873" s="2">
        <v>46115</v>
      </c>
      <c r="C873" t="s">
        <v>34</v>
      </c>
      <c r="D873" t="s">
        <v>35</v>
      </c>
      <c r="E873" t="s">
        <v>46</v>
      </c>
      <c r="F873">
        <v>14</v>
      </c>
      <c r="G873" t="s">
        <v>13</v>
      </c>
      <c r="H873" s="2">
        <v>46116</v>
      </c>
      <c r="I873" s="2">
        <v>46116</v>
      </c>
      <c r="J873">
        <v>0</v>
      </c>
      <c r="K873" t="s">
        <v>1344</v>
      </c>
    </row>
    <row r="874" spans="1:11" x14ac:dyDescent="0.35">
      <c r="A874" t="s">
        <v>900</v>
      </c>
      <c r="B874" s="2">
        <v>46135</v>
      </c>
      <c r="C874" t="s">
        <v>19</v>
      </c>
      <c r="D874" t="s">
        <v>20</v>
      </c>
      <c r="E874" t="s">
        <v>55</v>
      </c>
      <c r="F874">
        <v>10</v>
      </c>
      <c r="G874" t="s">
        <v>13</v>
      </c>
      <c r="H874" s="2">
        <v>46138</v>
      </c>
      <c r="I874" s="2">
        <v>46137</v>
      </c>
      <c r="J874">
        <v>-1</v>
      </c>
      <c r="K874" t="s">
        <v>1344</v>
      </c>
    </row>
    <row r="875" spans="1:11" x14ac:dyDescent="0.35">
      <c r="A875" t="s">
        <v>901</v>
      </c>
      <c r="B875" s="2">
        <v>46130</v>
      </c>
      <c r="C875" t="s">
        <v>19</v>
      </c>
      <c r="D875" t="s">
        <v>20</v>
      </c>
      <c r="E875" t="s">
        <v>24</v>
      </c>
      <c r="F875">
        <v>3</v>
      </c>
      <c r="G875" t="s">
        <v>62</v>
      </c>
      <c r="H875" s="2">
        <v>46132</v>
      </c>
      <c r="I875" s="2">
        <v>46136</v>
      </c>
      <c r="J875">
        <v>4</v>
      </c>
      <c r="K875" t="s">
        <v>62</v>
      </c>
    </row>
    <row r="876" spans="1:11" x14ac:dyDescent="0.35">
      <c r="A876" t="s">
        <v>902</v>
      </c>
      <c r="B876" s="2">
        <v>46150</v>
      </c>
      <c r="C876" t="s">
        <v>15</v>
      </c>
      <c r="D876" t="s">
        <v>16</v>
      </c>
      <c r="E876" t="s">
        <v>12</v>
      </c>
      <c r="F876">
        <v>25</v>
      </c>
      <c r="G876" t="s">
        <v>13</v>
      </c>
      <c r="H876" s="2">
        <v>46154</v>
      </c>
      <c r="I876" s="2">
        <v>46154</v>
      </c>
      <c r="J876">
        <v>0</v>
      </c>
      <c r="K876" t="s">
        <v>1344</v>
      </c>
    </row>
    <row r="877" spans="1:11" x14ac:dyDescent="0.35">
      <c r="A877" t="s">
        <v>903</v>
      </c>
      <c r="B877" s="2">
        <v>46127</v>
      </c>
      <c r="C877" t="s">
        <v>10</v>
      </c>
      <c r="D877" t="s">
        <v>11</v>
      </c>
      <c r="E877" t="s">
        <v>17</v>
      </c>
      <c r="F877">
        <v>3</v>
      </c>
      <c r="G877" t="s">
        <v>13</v>
      </c>
      <c r="H877" s="2">
        <v>46130</v>
      </c>
      <c r="I877" s="2">
        <v>46129</v>
      </c>
      <c r="J877">
        <v>-1</v>
      </c>
      <c r="K877" t="s">
        <v>1344</v>
      </c>
    </row>
    <row r="878" spans="1:11" x14ac:dyDescent="0.35">
      <c r="A878" t="s">
        <v>904</v>
      </c>
      <c r="B878" s="2">
        <v>46176</v>
      </c>
      <c r="C878" t="s">
        <v>10</v>
      </c>
      <c r="D878" t="s">
        <v>11</v>
      </c>
      <c r="E878" t="s">
        <v>17</v>
      </c>
      <c r="F878">
        <v>15</v>
      </c>
      <c r="G878" t="s">
        <v>13</v>
      </c>
      <c r="H878" s="2">
        <v>46180</v>
      </c>
      <c r="I878" s="2">
        <v>46180</v>
      </c>
      <c r="J878">
        <v>0</v>
      </c>
      <c r="K878" t="s">
        <v>1344</v>
      </c>
    </row>
    <row r="879" spans="1:11" x14ac:dyDescent="0.35">
      <c r="A879" t="s">
        <v>905</v>
      </c>
      <c r="B879" s="2">
        <v>46201</v>
      </c>
      <c r="C879" t="s">
        <v>34</v>
      </c>
      <c r="D879" t="s">
        <v>35</v>
      </c>
      <c r="E879" t="s">
        <v>43</v>
      </c>
      <c r="F879">
        <v>6</v>
      </c>
      <c r="G879" t="s">
        <v>13</v>
      </c>
      <c r="H879" s="2">
        <v>46202</v>
      </c>
      <c r="I879" s="2">
        <v>46202</v>
      </c>
      <c r="J879">
        <v>0</v>
      </c>
      <c r="K879" t="s">
        <v>1344</v>
      </c>
    </row>
    <row r="880" spans="1:11" x14ac:dyDescent="0.35">
      <c r="A880" t="s">
        <v>906</v>
      </c>
      <c r="B880" s="2">
        <v>46140</v>
      </c>
      <c r="C880" t="s">
        <v>34</v>
      </c>
      <c r="D880" t="s">
        <v>35</v>
      </c>
      <c r="E880" t="s">
        <v>24</v>
      </c>
      <c r="F880">
        <v>17</v>
      </c>
      <c r="G880" t="s">
        <v>13</v>
      </c>
      <c r="H880" s="2">
        <v>46144</v>
      </c>
      <c r="I880" s="2">
        <v>46144</v>
      </c>
      <c r="J880">
        <v>0</v>
      </c>
      <c r="K880" t="s">
        <v>1344</v>
      </c>
    </row>
    <row r="881" spans="1:11" x14ac:dyDescent="0.35">
      <c r="A881" t="s">
        <v>907</v>
      </c>
      <c r="B881" s="2">
        <v>46186</v>
      </c>
      <c r="C881" t="s">
        <v>34</v>
      </c>
      <c r="D881" t="s">
        <v>35</v>
      </c>
      <c r="E881" t="s">
        <v>32</v>
      </c>
      <c r="F881">
        <v>12</v>
      </c>
      <c r="G881" t="s">
        <v>13</v>
      </c>
      <c r="H881" s="2">
        <v>46188</v>
      </c>
      <c r="I881" s="2">
        <v>46187</v>
      </c>
      <c r="J881">
        <v>-1</v>
      </c>
      <c r="K881" t="s">
        <v>1344</v>
      </c>
    </row>
    <row r="882" spans="1:11" x14ac:dyDescent="0.35">
      <c r="A882" t="s">
        <v>908</v>
      </c>
      <c r="B882" s="2">
        <v>46151</v>
      </c>
      <c r="C882" t="s">
        <v>10</v>
      </c>
      <c r="D882" t="s">
        <v>11</v>
      </c>
      <c r="E882" t="s">
        <v>22</v>
      </c>
      <c r="F882">
        <v>22</v>
      </c>
      <c r="G882" t="s">
        <v>13</v>
      </c>
      <c r="H882" s="2">
        <v>46153</v>
      </c>
      <c r="I882" s="2">
        <v>46153</v>
      </c>
      <c r="J882">
        <v>0</v>
      </c>
      <c r="K882" t="s">
        <v>1344</v>
      </c>
    </row>
    <row r="883" spans="1:11" x14ac:dyDescent="0.35">
      <c r="A883" t="s">
        <v>909</v>
      </c>
      <c r="B883" s="2">
        <v>46169</v>
      </c>
      <c r="C883" t="s">
        <v>34</v>
      </c>
      <c r="D883" t="s">
        <v>35</v>
      </c>
      <c r="E883" t="s">
        <v>55</v>
      </c>
      <c r="F883">
        <v>20</v>
      </c>
      <c r="G883" t="s">
        <v>13</v>
      </c>
      <c r="H883" s="2">
        <v>46170</v>
      </c>
      <c r="I883" s="2">
        <v>46169</v>
      </c>
      <c r="J883">
        <v>-1</v>
      </c>
      <c r="K883" t="s">
        <v>1344</v>
      </c>
    </row>
    <row r="884" spans="1:11" x14ac:dyDescent="0.35">
      <c r="A884" t="s">
        <v>910</v>
      </c>
      <c r="B884" s="2">
        <v>46129</v>
      </c>
      <c r="C884" t="s">
        <v>19</v>
      </c>
      <c r="D884" t="s">
        <v>20</v>
      </c>
      <c r="E884" t="s">
        <v>43</v>
      </c>
      <c r="F884">
        <v>24</v>
      </c>
      <c r="G884" t="s">
        <v>26</v>
      </c>
      <c r="H884" s="2">
        <v>46131</v>
      </c>
      <c r="I884" s="2"/>
      <c r="K884" t="s">
        <v>26</v>
      </c>
    </row>
    <row r="885" spans="1:11" x14ac:dyDescent="0.35">
      <c r="A885" t="s">
        <v>911</v>
      </c>
      <c r="B885" s="2">
        <v>46198</v>
      </c>
      <c r="C885" t="s">
        <v>10</v>
      </c>
      <c r="D885" t="s">
        <v>11</v>
      </c>
      <c r="E885" t="s">
        <v>12</v>
      </c>
      <c r="F885">
        <v>29</v>
      </c>
      <c r="G885" t="s">
        <v>13</v>
      </c>
      <c r="H885" s="2">
        <v>46200</v>
      </c>
      <c r="I885" s="2">
        <v>46199</v>
      </c>
      <c r="J885">
        <v>-1</v>
      </c>
      <c r="K885" t="s">
        <v>1344</v>
      </c>
    </row>
    <row r="886" spans="1:11" x14ac:dyDescent="0.35">
      <c r="A886" t="s">
        <v>912</v>
      </c>
      <c r="B886" s="2">
        <v>46202</v>
      </c>
      <c r="C886" t="s">
        <v>15</v>
      </c>
      <c r="D886" t="s">
        <v>16</v>
      </c>
      <c r="E886" t="s">
        <v>55</v>
      </c>
      <c r="F886">
        <v>11</v>
      </c>
      <c r="G886" t="s">
        <v>13</v>
      </c>
      <c r="H886" s="2">
        <v>46205</v>
      </c>
      <c r="I886" s="2">
        <v>46205</v>
      </c>
      <c r="J886">
        <v>0</v>
      </c>
      <c r="K886" t="s">
        <v>1344</v>
      </c>
    </row>
    <row r="887" spans="1:11" x14ac:dyDescent="0.35">
      <c r="A887" t="s">
        <v>913</v>
      </c>
      <c r="B887" s="2">
        <v>46156</v>
      </c>
      <c r="C887" t="s">
        <v>10</v>
      </c>
      <c r="D887" t="s">
        <v>11</v>
      </c>
      <c r="E887" t="s">
        <v>55</v>
      </c>
      <c r="F887">
        <v>25</v>
      </c>
      <c r="G887" t="s">
        <v>13</v>
      </c>
      <c r="H887" s="2">
        <v>46160</v>
      </c>
      <c r="I887" s="2">
        <v>46159</v>
      </c>
      <c r="J887">
        <v>-1</v>
      </c>
      <c r="K887" t="s">
        <v>1344</v>
      </c>
    </row>
    <row r="888" spans="1:11" x14ac:dyDescent="0.35">
      <c r="A888" t="s">
        <v>914</v>
      </c>
      <c r="B888" s="2">
        <v>46137</v>
      </c>
      <c r="C888" t="s">
        <v>15</v>
      </c>
      <c r="D888" t="s">
        <v>16</v>
      </c>
      <c r="E888" t="s">
        <v>24</v>
      </c>
      <c r="F888">
        <v>4</v>
      </c>
      <c r="G888" t="s">
        <v>13</v>
      </c>
      <c r="H888" s="2">
        <v>46138</v>
      </c>
      <c r="I888" s="2">
        <v>46137</v>
      </c>
      <c r="J888">
        <v>-1</v>
      </c>
      <c r="K888" t="s">
        <v>1344</v>
      </c>
    </row>
    <row r="889" spans="1:11" x14ac:dyDescent="0.35">
      <c r="A889" t="s">
        <v>915</v>
      </c>
      <c r="B889" s="2">
        <v>46129</v>
      </c>
      <c r="C889" t="s">
        <v>10</v>
      </c>
      <c r="D889" t="s">
        <v>11</v>
      </c>
      <c r="E889" t="s">
        <v>22</v>
      </c>
      <c r="F889">
        <v>26</v>
      </c>
      <c r="G889" t="s">
        <v>13</v>
      </c>
      <c r="H889" s="2">
        <v>46130</v>
      </c>
      <c r="I889" s="2">
        <v>46129</v>
      </c>
      <c r="J889">
        <v>-1</v>
      </c>
      <c r="K889" t="s">
        <v>1344</v>
      </c>
    </row>
    <row r="890" spans="1:11" x14ac:dyDescent="0.35">
      <c r="A890" t="s">
        <v>916</v>
      </c>
      <c r="B890" s="2">
        <v>46125</v>
      </c>
      <c r="C890" t="s">
        <v>10</v>
      </c>
      <c r="D890" t="s">
        <v>11</v>
      </c>
      <c r="E890" t="s">
        <v>32</v>
      </c>
      <c r="F890">
        <v>28</v>
      </c>
      <c r="G890" t="s">
        <v>13</v>
      </c>
      <c r="H890" s="2">
        <v>46126</v>
      </c>
      <c r="I890" s="2">
        <v>46125</v>
      </c>
      <c r="J890">
        <v>-1</v>
      </c>
      <c r="K890" t="s">
        <v>1344</v>
      </c>
    </row>
    <row r="891" spans="1:11" x14ac:dyDescent="0.35">
      <c r="A891" t="s">
        <v>917</v>
      </c>
      <c r="B891" s="2">
        <v>46196</v>
      </c>
      <c r="C891" t="s">
        <v>15</v>
      </c>
      <c r="D891" t="s">
        <v>16</v>
      </c>
      <c r="E891" t="s">
        <v>17</v>
      </c>
      <c r="F891">
        <v>26</v>
      </c>
      <c r="G891" t="s">
        <v>26</v>
      </c>
      <c r="H891" s="2">
        <v>46197</v>
      </c>
      <c r="I891" s="2"/>
      <c r="K891" t="s">
        <v>26</v>
      </c>
    </row>
    <row r="892" spans="1:11" x14ac:dyDescent="0.35">
      <c r="A892" t="s">
        <v>918</v>
      </c>
      <c r="B892" s="2">
        <v>46137</v>
      </c>
      <c r="C892" t="s">
        <v>34</v>
      </c>
      <c r="D892" t="s">
        <v>35</v>
      </c>
      <c r="E892" t="s">
        <v>46</v>
      </c>
      <c r="F892">
        <v>6</v>
      </c>
      <c r="G892" t="s">
        <v>62</v>
      </c>
      <c r="H892" s="2">
        <v>46138</v>
      </c>
      <c r="I892" s="2">
        <v>46142</v>
      </c>
      <c r="J892">
        <v>4</v>
      </c>
      <c r="K892" t="s">
        <v>62</v>
      </c>
    </row>
    <row r="893" spans="1:11" x14ac:dyDescent="0.35">
      <c r="A893" t="s">
        <v>919</v>
      </c>
      <c r="B893" s="2">
        <v>46180</v>
      </c>
      <c r="C893" t="s">
        <v>15</v>
      </c>
      <c r="D893" t="s">
        <v>16</v>
      </c>
      <c r="E893" t="s">
        <v>46</v>
      </c>
      <c r="F893">
        <v>1</v>
      </c>
      <c r="G893" t="s">
        <v>13</v>
      </c>
      <c r="H893" s="2">
        <v>46182</v>
      </c>
      <c r="I893" s="2">
        <v>46182</v>
      </c>
      <c r="J893">
        <v>0</v>
      </c>
      <c r="K893" t="s">
        <v>1344</v>
      </c>
    </row>
    <row r="894" spans="1:11" x14ac:dyDescent="0.35">
      <c r="A894" t="s">
        <v>920</v>
      </c>
      <c r="B894" s="2">
        <v>46122</v>
      </c>
      <c r="C894" t="s">
        <v>15</v>
      </c>
      <c r="D894" t="s">
        <v>16</v>
      </c>
      <c r="E894" t="s">
        <v>55</v>
      </c>
      <c r="F894">
        <v>20</v>
      </c>
      <c r="G894" t="s">
        <v>13</v>
      </c>
      <c r="H894" s="2">
        <v>46125</v>
      </c>
      <c r="I894" s="2">
        <v>46124</v>
      </c>
      <c r="J894">
        <v>-1</v>
      </c>
      <c r="K894" t="s">
        <v>1344</v>
      </c>
    </row>
    <row r="895" spans="1:11" x14ac:dyDescent="0.35">
      <c r="A895" t="s">
        <v>921</v>
      </c>
      <c r="B895" s="2">
        <v>46179</v>
      </c>
      <c r="C895" t="s">
        <v>34</v>
      </c>
      <c r="D895" t="s">
        <v>35</v>
      </c>
      <c r="E895" t="s">
        <v>17</v>
      </c>
      <c r="F895">
        <v>23</v>
      </c>
      <c r="G895" t="s">
        <v>13</v>
      </c>
      <c r="H895" s="2">
        <v>46180</v>
      </c>
      <c r="I895" s="2">
        <v>46180</v>
      </c>
      <c r="J895">
        <v>0</v>
      </c>
      <c r="K895" t="s">
        <v>1344</v>
      </c>
    </row>
    <row r="896" spans="1:11" x14ac:dyDescent="0.35">
      <c r="A896" t="s">
        <v>922</v>
      </c>
      <c r="B896" s="2">
        <v>46130</v>
      </c>
      <c r="C896" t="s">
        <v>34</v>
      </c>
      <c r="D896" t="s">
        <v>35</v>
      </c>
      <c r="E896" t="s">
        <v>17</v>
      </c>
      <c r="F896">
        <v>28</v>
      </c>
      <c r="G896" t="s">
        <v>26</v>
      </c>
      <c r="H896" s="2">
        <v>46133</v>
      </c>
      <c r="I896" s="2"/>
      <c r="K896" t="s">
        <v>26</v>
      </c>
    </row>
    <row r="897" spans="1:11" x14ac:dyDescent="0.35">
      <c r="A897" t="s">
        <v>923</v>
      </c>
      <c r="B897" s="2">
        <v>46198</v>
      </c>
      <c r="C897" t="s">
        <v>19</v>
      </c>
      <c r="D897" t="s">
        <v>20</v>
      </c>
      <c r="E897" t="s">
        <v>22</v>
      </c>
      <c r="F897">
        <v>16</v>
      </c>
      <c r="G897" t="s">
        <v>26</v>
      </c>
      <c r="H897" s="2">
        <v>46201</v>
      </c>
      <c r="I897" s="2"/>
      <c r="K897" t="s">
        <v>26</v>
      </c>
    </row>
    <row r="898" spans="1:11" x14ac:dyDescent="0.35">
      <c r="A898" t="s">
        <v>924</v>
      </c>
      <c r="B898" s="2">
        <v>46146</v>
      </c>
      <c r="C898" t="s">
        <v>34</v>
      </c>
      <c r="D898" t="s">
        <v>35</v>
      </c>
      <c r="E898" t="s">
        <v>12</v>
      </c>
      <c r="F898">
        <v>15</v>
      </c>
      <c r="G898" t="s">
        <v>13</v>
      </c>
      <c r="H898" s="2">
        <v>46148</v>
      </c>
      <c r="I898" s="2">
        <v>46148</v>
      </c>
      <c r="J898">
        <v>0</v>
      </c>
      <c r="K898" t="s">
        <v>1344</v>
      </c>
    </row>
    <row r="899" spans="1:11" x14ac:dyDescent="0.35">
      <c r="A899" t="s">
        <v>925</v>
      </c>
      <c r="B899" s="2">
        <v>46120</v>
      </c>
      <c r="C899" t="s">
        <v>34</v>
      </c>
      <c r="D899" t="s">
        <v>35</v>
      </c>
      <c r="E899" t="s">
        <v>12</v>
      </c>
      <c r="F899">
        <v>17</v>
      </c>
      <c r="G899" t="s">
        <v>13</v>
      </c>
      <c r="H899" s="2">
        <v>46121</v>
      </c>
      <c r="I899" s="2">
        <v>46121</v>
      </c>
      <c r="J899">
        <v>0</v>
      </c>
      <c r="K899" t="s">
        <v>1344</v>
      </c>
    </row>
    <row r="900" spans="1:11" x14ac:dyDescent="0.35">
      <c r="A900" t="s">
        <v>926</v>
      </c>
      <c r="B900" s="2">
        <v>46152</v>
      </c>
      <c r="C900" t="s">
        <v>10</v>
      </c>
      <c r="D900" t="s">
        <v>11</v>
      </c>
      <c r="E900" t="s">
        <v>43</v>
      </c>
      <c r="F900">
        <v>8</v>
      </c>
      <c r="G900" t="s">
        <v>13</v>
      </c>
      <c r="H900" s="2">
        <v>46154</v>
      </c>
      <c r="I900" s="2">
        <v>46154</v>
      </c>
      <c r="J900">
        <v>0</v>
      </c>
      <c r="K900" t="s">
        <v>1344</v>
      </c>
    </row>
    <row r="901" spans="1:11" x14ac:dyDescent="0.35">
      <c r="A901" t="s">
        <v>927</v>
      </c>
      <c r="B901" s="2">
        <v>46195</v>
      </c>
      <c r="C901" t="s">
        <v>15</v>
      </c>
      <c r="D901" t="s">
        <v>16</v>
      </c>
      <c r="E901" t="s">
        <v>24</v>
      </c>
      <c r="F901">
        <v>28</v>
      </c>
      <c r="G901" t="s">
        <v>13</v>
      </c>
      <c r="H901" s="2">
        <v>46196</v>
      </c>
      <c r="I901" s="2">
        <v>46196</v>
      </c>
      <c r="J901">
        <v>0</v>
      </c>
      <c r="K901" t="s">
        <v>1344</v>
      </c>
    </row>
    <row r="902" spans="1:11" x14ac:dyDescent="0.35">
      <c r="A902" t="s">
        <v>928</v>
      </c>
      <c r="B902" s="2">
        <v>46154</v>
      </c>
      <c r="C902" t="s">
        <v>19</v>
      </c>
      <c r="D902" t="s">
        <v>20</v>
      </c>
      <c r="E902" t="s">
        <v>22</v>
      </c>
      <c r="F902">
        <v>26</v>
      </c>
      <c r="G902" t="s">
        <v>13</v>
      </c>
      <c r="H902" s="2">
        <v>46156</v>
      </c>
      <c r="I902" s="2">
        <v>46156</v>
      </c>
      <c r="J902">
        <v>0</v>
      </c>
      <c r="K902" t="s">
        <v>1344</v>
      </c>
    </row>
    <row r="903" spans="1:11" x14ac:dyDescent="0.35">
      <c r="A903" t="s">
        <v>929</v>
      </c>
      <c r="B903" s="2">
        <v>46153</v>
      </c>
      <c r="C903" t="s">
        <v>10</v>
      </c>
      <c r="D903" t="s">
        <v>11</v>
      </c>
      <c r="E903" t="s">
        <v>22</v>
      </c>
      <c r="F903">
        <v>12</v>
      </c>
      <c r="G903" t="s">
        <v>13</v>
      </c>
      <c r="H903" s="2">
        <v>46156</v>
      </c>
      <c r="I903" s="2">
        <v>46155</v>
      </c>
      <c r="J903">
        <v>-1</v>
      </c>
      <c r="K903" t="s">
        <v>1344</v>
      </c>
    </row>
    <row r="904" spans="1:11" x14ac:dyDescent="0.35">
      <c r="A904" t="s">
        <v>930</v>
      </c>
      <c r="B904" s="2">
        <v>46118</v>
      </c>
      <c r="C904" t="s">
        <v>10</v>
      </c>
      <c r="D904" t="s">
        <v>11</v>
      </c>
      <c r="E904" t="s">
        <v>24</v>
      </c>
      <c r="F904">
        <v>27</v>
      </c>
      <c r="G904" t="s">
        <v>13</v>
      </c>
      <c r="H904" s="2">
        <v>46119</v>
      </c>
      <c r="I904" s="2">
        <v>46118</v>
      </c>
      <c r="J904">
        <v>-1</v>
      </c>
      <c r="K904" t="s">
        <v>1344</v>
      </c>
    </row>
    <row r="905" spans="1:11" x14ac:dyDescent="0.35">
      <c r="A905" t="s">
        <v>931</v>
      </c>
      <c r="B905" s="2">
        <v>46164</v>
      </c>
      <c r="C905" t="s">
        <v>15</v>
      </c>
      <c r="D905" t="s">
        <v>16</v>
      </c>
      <c r="E905" t="s">
        <v>17</v>
      </c>
      <c r="F905">
        <v>22</v>
      </c>
      <c r="G905" t="s">
        <v>26</v>
      </c>
      <c r="H905" s="2">
        <v>46168</v>
      </c>
      <c r="I905" s="2"/>
      <c r="K905" t="s">
        <v>26</v>
      </c>
    </row>
    <row r="906" spans="1:11" x14ac:dyDescent="0.35">
      <c r="A906" t="s">
        <v>932</v>
      </c>
      <c r="B906" s="2">
        <v>46138</v>
      </c>
      <c r="C906" t="s">
        <v>34</v>
      </c>
      <c r="D906" t="s">
        <v>35</v>
      </c>
      <c r="E906" t="s">
        <v>12</v>
      </c>
      <c r="F906">
        <v>21</v>
      </c>
      <c r="G906" t="s">
        <v>62</v>
      </c>
      <c r="H906" s="2">
        <v>46141</v>
      </c>
      <c r="I906" s="2">
        <v>46145</v>
      </c>
      <c r="J906">
        <v>4</v>
      </c>
      <c r="K906" t="s">
        <v>62</v>
      </c>
    </row>
    <row r="907" spans="1:11" x14ac:dyDescent="0.35">
      <c r="A907" t="s">
        <v>933</v>
      </c>
      <c r="B907" s="2">
        <v>46176</v>
      </c>
      <c r="C907" t="s">
        <v>34</v>
      </c>
      <c r="D907" t="s">
        <v>35</v>
      </c>
      <c r="E907" t="s">
        <v>12</v>
      </c>
      <c r="F907">
        <v>10</v>
      </c>
      <c r="G907" t="s">
        <v>13</v>
      </c>
      <c r="H907" s="2">
        <v>46180</v>
      </c>
      <c r="I907" s="2">
        <v>46180</v>
      </c>
      <c r="J907">
        <v>0</v>
      </c>
      <c r="K907" t="s">
        <v>1344</v>
      </c>
    </row>
    <row r="908" spans="1:11" x14ac:dyDescent="0.35">
      <c r="A908" t="s">
        <v>934</v>
      </c>
      <c r="B908" s="2">
        <v>46171</v>
      </c>
      <c r="C908" t="s">
        <v>19</v>
      </c>
      <c r="D908" t="s">
        <v>20</v>
      </c>
      <c r="E908" t="s">
        <v>17</v>
      </c>
      <c r="F908">
        <v>27</v>
      </c>
      <c r="G908" t="s">
        <v>13</v>
      </c>
      <c r="H908" s="2">
        <v>46174</v>
      </c>
      <c r="I908" s="2">
        <v>46173</v>
      </c>
      <c r="J908">
        <v>-1</v>
      </c>
      <c r="K908" t="s">
        <v>1344</v>
      </c>
    </row>
    <row r="909" spans="1:11" x14ac:dyDescent="0.35">
      <c r="A909" t="s">
        <v>935</v>
      </c>
      <c r="B909" s="2">
        <v>46168</v>
      </c>
      <c r="C909" t="s">
        <v>15</v>
      </c>
      <c r="D909" t="s">
        <v>16</v>
      </c>
      <c r="E909" t="s">
        <v>12</v>
      </c>
      <c r="F909">
        <v>15</v>
      </c>
      <c r="G909" t="s">
        <v>13</v>
      </c>
      <c r="H909" s="2">
        <v>46170</v>
      </c>
      <c r="I909" s="2">
        <v>46169</v>
      </c>
      <c r="J909">
        <v>-1</v>
      </c>
      <c r="K909" t="s">
        <v>1344</v>
      </c>
    </row>
    <row r="910" spans="1:11" x14ac:dyDescent="0.35">
      <c r="A910" t="s">
        <v>936</v>
      </c>
      <c r="B910" s="2">
        <v>46171</v>
      </c>
      <c r="C910" t="s">
        <v>34</v>
      </c>
      <c r="D910" t="s">
        <v>35</v>
      </c>
      <c r="E910" t="s">
        <v>55</v>
      </c>
      <c r="F910">
        <v>30</v>
      </c>
      <c r="G910" t="s">
        <v>13</v>
      </c>
      <c r="H910" s="2">
        <v>46172</v>
      </c>
      <c r="I910" s="2">
        <v>46171</v>
      </c>
      <c r="J910">
        <v>-1</v>
      </c>
      <c r="K910" t="s">
        <v>1344</v>
      </c>
    </row>
    <row r="911" spans="1:11" x14ac:dyDescent="0.35">
      <c r="A911" t="s">
        <v>937</v>
      </c>
      <c r="B911" s="2">
        <v>46182</v>
      </c>
      <c r="C911" t="s">
        <v>19</v>
      </c>
      <c r="D911" t="s">
        <v>20</v>
      </c>
      <c r="E911" t="s">
        <v>22</v>
      </c>
      <c r="F911">
        <v>9</v>
      </c>
      <c r="G911" t="s">
        <v>13</v>
      </c>
      <c r="H911" s="2">
        <v>46185</v>
      </c>
      <c r="I911" s="2">
        <v>46185</v>
      </c>
      <c r="J911">
        <v>0</v>
      </c>
      <c r="K911" t="s">
        <v>1344</v>
      </c>
    </row>
    <row r="912" spans="1:11" x14ac:dyDescent="0.35">
      <c r="A912" t="s">
        <v>938</v>
      </c>
      <c r="B912" s="2">
        <v>46145</v>
      </c>
      <c r="C912" t="s">
        <v>34</v>
      </c>
      <c r="D912" t="s">
        <v>35</v>
      </c>
      <c r="E912" t="s">
        <v>46</v>
      </c>
      <c r="F912">
        <v>2</v>
      </c>
      <c r="G912" t="s">
        <v>13</v>
      </c>
      <c r="H912" s="2">
        <v>46147</v>
      </c>
      <c r="I912" s="2">
        <v>46146</v>
      </c>
      <c r="J912">
        <v>-1</v>
      </c>
      <c r="K912" t="s">
        <v>1344</v>
      </c>
    </row>
    <row r="913" spans="1:11" x14ac:dyDescent="0.35">
      <c r="A913" t="s">
        <v>939</v>
      </c>
      <c r="B913" s="2">
        <v>46165</v>
      </c>
      <c r="C913" t="s">
        <v>34</v>
      </c>
      <c r="D913" t="s">
        <v>35</v>
      </c>
      <c r="E913" t="s">
        <v>24</v>
      </c>
      <c r="F913">
        <v>5</v>
      </c>
      <c r="G913" t="s">
        <v>13</v>
      </c>
      <c r="H913" s="2">
        <v>46166</v>
      </c>
      <c r="I913" s="2">
        <v>46166</v>
      </c>
      <c r="J913">
        <v>0</v>
      </c>
      <c r="K913" t="s">
        <v>1344</v>
      </c>
    </row>
    <row r="914" spans="1:11" x14ac:dyDescent="0.35">
      <c r="A914" t="s">
        <v>940</v>
      </c>
      <c r="B914" s="2">
        <v>46134</v>
      </c>
      <c r="C914" t="s">
        <v>15</v>
      </c>
      <c r="D914" t="s">
        <v>16</v>
      </c>
      <c r="E914" t="s">
        <v>12</v>
      </c>
      <c r="F914">
        <v>6</v>
      </c>
      <c r="G914" t="s">
        <v>13</v>
      </c>
      <c r="H914" s="2">
        <v>46135</v>
      </c>
      <c r="I914" s="2">
        <v>46134</v>
      </c>
      <c r="J914">
        <v>-1</v>
      </c>
      <c r="K914" t="s">
        <v>1344</v>
      </c>
    </row>
    <row r="915" spans="1:11" x14ac:dyDescent="0.35">
      <c r="A915" t="s">
        <v>941</v>
      </c>
      <c r="B915" s="2">
        <v>46133</v>
      </c>
      <c r="C915" t="s">
        <v>19</v>
      </c>
      <c r="D915" t="s">
        <v>20</v>
      </c>
      <c r="E915" t="s">
        <v>43</v>
      </c>
      <c r="F915">
        <v>7</v>
      </c>
      <c r="G915" t="s">
        <v>13</v>
      </c>
      <c r="H915" s="2">
        <v>46136</v>
      </c>
      <c r="I915" s="2">
        <v>46136</v>
      </c>
      <c r="J915">
        <v>0</v>
      </c>
      <c r="K915" t="s">
        <v>1344</v>
      </c>
    </row>
    <row r="916" spans="1:11" x14ac:dyDescent="0.35">
      <c r="A916" t="s">
        <v>942</v>
      </c>
      <c r="B916" s="2">
        <v>46182</v>
      </c>
      <c r="C916" t="s">
        <v>15</v>
      </c>
      <c r="D916" t="s">
        <v>16</v>
      </c>
      <c r="E916" t="s">
        <v>12</v>
      </c>
      <c r="F916">
        <v>21</v>
      </c>
      <c r="G916" t="s">
        <v>13</v>
      </c>
      <c r="H916" s="2">
        <v>46183</v>
      </c>
      <c r="I916" s="2">
        <v>46183</v>
      </c>
      <c r="J916">
        <v>0</v>
      </c>
      <c r="K916" t="s">
        <v>1344</v>
      </c>
    </row>
    <row r="917" spans="1:11" x14ac:dyDescent="0.35">
      <c r="A917" t="s">
        <v>943</v>
      </c>
      <c r="B917" s="2">
        <v>46182</v>
      </c>
      <c r="C917" t="s">
        <v>10</v>
      </c>
      <c r="D917" t="s">
        <v>11</v>
      </c>
      <c r="E917" t="s">
        <v>12</v>
      </c>
      <c r="F917">
        <v>25</v>
      </c>
      <c r="G917" t="s">
        <v>13</v>
      </c>
      <c r="H917" s="2">
        <v>46185</v>
      </c>
      <c r="I917" s="2">
        <v>46185</v>
      </c>
      <c r="J917">
        <v>0</v>
      </c>
      <c r="K917" t="s">
        <v>1344</v>
      </c>
    </row>
    <row r="918" spans="1:11" x14ac:dyDescent="0.35">
      <c r="A918" t="s">
        <v>944</v>
      </c>
      <c r="B918" s="2">
        <v>46116</v>
      </c>
      <c r="C918" t="s">
        <v>19</v>
      </c>
      <c r="D918" t="s">
        <v>20</v>
      </c>
      <c r="E918" t="s">
        <v>32</v>
      </c>
      <c r="F918">
        <v>1</v>
      </c>
      <c r="G918" t="s">
        <v>13</v>
      </c>
      <c r="H918" s="2">
        <v>46117</v>
      </c>
      <c r="I918" s="2">
        <v>46116</v>
      </c>
      <c r="J918">
        <v>-1</v>
      </c>
      <c r="K918" t="s">
        <v>1344</v>
      </c>
    </row>
    <row r="919" spans="1:11" x14ac:dyDescent="0.35">
      <c r="A919" t="s">
        <v>945</v>
      </c>
      <c r="B919" s="2">
        <v>46187</v>
      </c>
      <c r="C919" t="s">
        <v>15</v>
      </c>
      <c r="D919" t="s">
        <v>16</v>
      </c>
      <c r="E919" t="s">
        <v>55</v>
      </c>
      <c r="F919">
        <v>23</v>
      </c>
      <c r="G919" t="s">
        <v>62</v>
      </c>
      <c r="H919" s="2">
        <v>46191</v>
      </c>
      <c r="I919" s="2">
        <v>46195</v>
      </c>
      <c r="J919">
        <v>4</v>
      </c>
      <c r="K919" t="s">
        <v>62</v>
      </c>
    </row>
    <row r="920" spans="1:11" x14ac:dyDescent="0.35">
      <c r="A920" t="s">
        <v>946</v>
      </c>
      <c r="B920" s="2">
        <v>46174</v>
      </c>
      <c r="C920" t="s">
        <v>10</v>
      </c>
      <c r="D920" t="s">
        <v>11</v>
      </c>
      <c r="E920" t="s">
        <v>24</v>
      </c>
      <c r="F920">
        <v>26</v>
      </c>
      <c r="G920" t="s">
        <v>13</v>
      </c>
      <c r="H920" s="2">
        <v>46176</v>
      </c>
      <c r="I920" s="2">
        <v>46176</v>
      </c>
      <c r="J920">
        <v>0</v>
      </c>
      <c r="K920" t="s">
        <v>1344</v>
      </c>
    </row>
    <row r="921" spans="1:11" x14ac:dyDescent="0.35">
      <c r="A921" t="s">
        <v>947</v>
      </c>
      <c r="B921" s="2">
        <v>46174</v>
      </c>
      <c r="C921" t="s">
        <v>15</v>
      </c>
      <c r="D921" t="s">
        <v>16</v>
      </c>
      <c r="E921" t="s">
        <v>32</v>
      </c>
      <c r="F921">
        <v>7</v>
      </c>
      <c r="G921" t="s">
        <v>13</v>
      </c>
      <c r="H921" s="2">
        <v>46178</v>
      </c>
      <c r="I921" s="2">
        <v>46177</v>
      </c>
      <c r="J921">
        <v>-1</v>
      </c>
      <c r="K921" t="s">
        <v>1344</v>
      </c>
    </row>
    <row r="922" spans="1:11" x14ac:dyDescent="0.35">
      <c r="A922" t="s">
        <v>948</v>
      </c>
      <c r="B922" s="2">
        <v>46136</v>
      </c>
      <c r="C922" t="s">
        <v>15</v>
      </c>
      <c r="D922" t="s">
        <v>16</v>
      </c>
      <c r="E922" t="s">
        <v>32</v>
      </c>
      <c r="F922">
        <v>20</v>
      </c>
      <c r="G922" t="s">
        <v>26</v>
      </c>
      <c r="H922" s="2">
        <v>46139</v>
      </c>
      <c r="I922" s="2"/>
      <c r="K922" t="s">
        <v>26</v>
      </c>
    </row>
    <row r="923" spans="1:11" x14ac:dyDescent="0.35">
      <c r="A923" t="s">
        <v>949</v>
      </c>
      <c r="B923" s="2">
        <v>46167</v>
      </c>
      <c r="C923" t="s">
        <v>19</v>
      </c>
      <c r="D923" t="s">
        <v>20</v>
      </c>
      <c r="E923" t="s">
        <v>43</v>
      </c>
      <c r="F923">
        <v>25</v>
      </c>
      <c r="G923" t="s">
        <v>62</v>
      </c>
      <c r="H923" s="2">
        <v>46171</v>
      </c>
      <c r="I923" s="2">
        <v>46174</v>
      </c>
      <c r="J923">
        <v>3</v>
      </c>
      <c r="K923" t="s">
        <v>62</v>
      </c>
    </row>
    <row r="924" spans="1:11" x14ac:dyDescent="0.35">
      <c r="A924" t="s">
        <v>950</v>
      </c>
      <c r="B924" s="2">
        <v>46121</v>
      </c>
      <c r="C924" t="s">
        <v>19</v>
      </c>
      <c r="D924" t="s">
        <v>20</v>
      </c>
      <c r="E924" t="s">
        <v>22</v>
      </c>
      <c r="F924">
        <v>30</v>
      </c>
      <c r="G924" t="s">
        <v>13</v>
      </c>
      <c r="H924" s="2">
        <v>46124</v>
      </c>
      <c r="I924" s="2">
        <v>46124</v>
      </c>
      <c r="J924">
        <v>0</v>
      </c>
      <c r="K924" t="s">
        <v>1344</v>
      </c>
    </row>
    <row r="925" spans="1:11" x14ac:dyDescent="0.35">
      <c r="A925" t="s">
        <v>951</v>
      </c>
      <c r="B925" s="2">
        <v>46115</v>
      </c>
      <c r="C925" t="s">
        <v>10</v>
      </c>
      <c r="D925" t="s">
        <v>11</v>
      </c>
      <c r="E925" t="s">
        <v>43</v>
      </c>
      <c r="F925">
        <v>12</v>
      </c>
      <c r="G925" t="s">
        <v>26</v>
      </c>
      <c r="H925" s="2">
        <v>46116</v>
      </c>
      <c r="I925" s="2"/>
      <c r="K925" t="s">
        <v>26</v>
      </c>
    </row>
    <row r="926" spans="1:11" x14ac:dyDescent="0.35">
      <c r="A926" t="s">
        <v>952</v>
      </c>
      <c r="B926" s="2">
        <v>46143</v>
      </c>
      <c r="C926" t="s">
        <v>34</v>
      </c>
      <c r="D926" t="s">
        <v>35</v>
      </c>
      <c r="E926" t="s">
        <v>22</v>
      </c>
      <c r="F926">
        <v>16</v>
      </c>
      <c r="G926" t="s">
        <v>13</v>
      </c>
      <c r="H926" s="2">
        <v>46144</v>
      </c>
      <c r="I926" s="2">
        <v>46143</v>
      </c>
      <c r="J926">
        <v>-1</v>
      </c>
      <c r="K926" t="s">
        <v>1344</v>
      </c>
    </row>
    <row r="927" spans="1:11" x14ac:dyDescent="0.35">
      <c r="A927" t="s">
        <v>953</v>
      </c>
      <c r="B927" s="2">
        <v>46152</v>
      </c>
      <c r="C927" t="s">
        <v>15</v>
      </c>
      <c r="D927" t="s">
        <v>16</v>
      </c>
      <c r="E927" t="s">
        <v>22</v>
      </c>
      <c r="F927">
        <v>16</v>
      </c>
      <c r="G927" t="s">
        <v>13</v>
      </c>
      <c r="H927" s="2">
        <v>46155</v>
      </c>
      <c r="I927" s="2">
        <v>46154</v>
      </c>
      <c r="J927">
        <v>-1</v>
      </c>
      <c r="K927" t="s">
        <v>1344</v>
      </c>
    </row>
    <row r="928" spans="1:11" x14ac:dyDescent="0.35">
      <c r="A928" t="s">
        <v>954</v>
      </c>
      <c r="B928" s="2">
        <v>46148</v>
      </c>
      <c r="C928" t="s">
        <v>15</v>
      </c>
      <c r="D928" t="s">
        <v>16</v>
      </c>
      <c r="E928" t="s">
        <v>24</v>
      </c>
      <c r="F928">
        <v>11</v>
      </c>
      <c r="G928" t="s">
        <v>13</v>
      </c>
      <c r="H928" s="2">
        <v>46152</v>
      </c>
      <c r="I928" s="2">
        <v>46151</v>
      </c>
      <c r="J928">
        <v>-1</v>
      </c>
      <c r="K928" t="s">
        <v>1344</v>
      </c>
    </row>
    <row r="929" spans="1:11" x14ac:dyDescent="0.35">
      <c r="A929" t="s">
        <v>955</v>
      </c>
      <c r="B929" s="2">
        <v>46136</v>
      </c>
      <c r="C929" t="s">
        <v>15</v>
      </c>
      <c r="D929" t="s">
        <v>16</v>
      </c>
      <c r="E929" t="s">
        <v>12</v>
      </c>
      <c r="F929">
        <v>21</v>
      </c>
      <c r="G929" t="s">
        <v>13</v>
      </c>
      <c r="H929" s="2">
        <v>46137</v>
      </c>
      <c r="I929" s="2">
        <v>46137</v>
      </c>
      <c r="J929">
        <v>0</v>
      </c>
      <c r="K929" t="s">
        <v>1344</v>
      </c>
    </row>
    <row r="930" spans="1:11" x14ac:dyDescent="0.35">
      <c r="A930" t="s">
        <v>956</v>
      </c>
      <c r="B930" s="2">
        <v>46118</v>
      </c>
      <c r="C930" t="s">
        <v>15</v>
      </c>
      <c r="D930" t="s">
        <v>16</v>
      </c>
      <c r="E930" t="s">
        <v>24</v>
      </c>
      <c r="F930">
        <v>4</v>
      </c>
      <c r="G930" t="s">
        <v>13</v>
      </c>
      <c r="H930" s="2">
        <v>46120</v>
      </c>
      <c r="I930" s="2">
        <v>46120</v>
      </c>
      <c r="J930">
        <v>0</v>
      </c>
      <c r="K930" t="s">
        <v>1344</v>
      </c>
    </row>
    <row r="931" spans="1:11" x14ac:dyDescent="0.35">
      <c r="A931" t="s">
        <v>957</v>
      </c>
      <c r="B931" s="2">
        <v>46178</v>
      </c>
      <c r="C931" t="s">
        <v>34</v>
      </c>
      <c r="D931" t="s">
        <v>35</v>
      </c>
      <c r="E931" t="s">
        <v>55</v>
      </c>
      <c r="F931">
        <v>13</v>
      </c>
      <c r="G931" t="s">
        <v>13</v>
      </c>
      <c r="H931" s="2">
        <v>46179</v>
      </c>
      <c r="I931" s="2">
        <v>46178</v>
      </c>
      <c r="J931">
        <v>-1</v>
      </c>
      <c r="K931" t="s">
        <v>1344</v>
      </c>
    </row>
    <row r="932" spans="1:11" x14ac:dyDescent="0.35">
      <c r="A932" t="s">
        <v>958</v>
      </c>
      <c r="B932" s="2">
        <v>46196</v>
      </c>
      <c r="C932" t="s">
        <v>34</v>
      </c>
      <c r="D932" t="s">
        <v>35</v>
      </c>
      <c r="E932" t="s">
        <v>22</v>
      </c>
      <c r="F932">
        <v>7</v>
      </c>
      <c r="G932" t="s">
        <v>13</v>
      </c>
      <c r="H932" s="2">
        <v>46198</v>
      </c>
      <c r="I932" s="2">
        <v>46198</v>
      </c>
      <c r="J932">
        <v>0</v>
      </c>
      <c r="K932" t="s">
        <v>1344</v>
      </c>
    </row>
    <row r="933" spans="1:11" x14ac:dyDescent="0.35">
      <c r="A933" t="s">
        <v>959</v>
      </c>
      <c r="B933" s="2">
        <v>46187</v>
      </c>
      <c r="C933" t="s">
        <v>34</v>
      </c>
      <c r="D933" t="s">
        <v>35</v>
      </c>
      <c r="E933" t="s">
        <v>32</v>
      </c>
      <c r="F933">
        <v>4</v>
      </c>
      <c r="G933" t="s">
        <v>13</v>
      </c>
      <c r="H933" s="2">
        <v>46191</v>
      </c>
      <c r="I933" s="2">
        <v>46190</v>
      </c>
      <c r="J933">
        <v>-1</v>
      </c>
      <c r="K933" t="s">
        <v>1344</v>
      </c>
    </row>
    <row r="934" spans="1:11" x14ac:dyDescent="0.35">
      <c r="A934" t="s">
        <v>960</v>
      </c>
      <c r="B934" s="2">
        <v>46116</v>
      </c>
      <c r="C934" t="s">
        <v>15</v>
      </c>
      <c r="D934" t="s">
        <v>16</v>
      </c>
      <c r="E934" t="s">
        <v>12</v>
      </c>
      <c r="F934">
        <v>15</v>
      </c>
      <c r="G934" t="s">
        <v>13</v>
      </c>
      <c r="H934" s="2">
        <v>46118</v>
      </c>
      <c r="I934" s="2">
        <v>46118</v>
      </c>
      <c r="J934">
        <v>0</v>
      </c>
      <c r="K934" t="s">
        <v>1344</v>
      </c>
    </row>
    <row r="935" spans="1:11" x14ac:dyDescent="0.35">
      <c r="A935" t="s">
        <v>961</v>
      </c>
      <c r="B935" s="2">
        <v>46191</v>
      </c>
      <c r="C935" t="s">
        <v>34</v>
      </c>
      <c r="D935" t="s">
        <v>35</v>
      </c>
      <c r="E935" t="s">
        <v>46</v>
      </c>
      <c r="F935">
        <v>19</v>
      </c>
      <c r="G935" t="s">
        <v>13</v>
      </c>
      <c r="H935" s="2">
        <v>46193</v>
      </c>
      <c r="I935" s="2">
        <v>46192</v>
      </c>
      <c r="J935">
        <v>-1</v>
      </c>
      <c r="K935" t="s">
        <v>1344</v>
      </c>
    </row>
    <row r="936" spans="1:11" x14ac:dyDescent="0.35">
      <c r="A936" t="s">
        <v>962</v>
      </c>
      <c r="B936" s="2">
        <v>46118</v>
      </c>
      <c r="C936" t="s">
        <v>19</v>
      </c>
      <c r="D936" t="s">
        <v>20</v>
      </c>
      <c r="E936" t="s">
        <v>55</v>
      </c>
      <c r="F936">
        <v>9</v>
      </c>
      <c r="G936" t="s">
        <v>13</v>
      </c>
      <c r="H936" s="2">
        <v>46120</v>
      </c>
      <c r="I936" s="2">
        <v>46119</v>
      </c>
      <c r="J936">
        <v>-1</v>
      </c>
      <c r="K936" t="s">
        <v>1344</v>
      </c>
    </row>
    <row r="937" spans="1:11" x14ac:dyDescent="0.35">
      <c r="A937" t="s">
        <v>963</v>
      </c>
      <c r="B937" s="2">
        <v>46163</v>
      </c>
      <c r="C937" t="s">
        <v>15</v>
      </c>
      <c r="D937" t="s">
        <v>16</v>
      </c>
      <c r="E937" t="s">
        <v>24</v>
      </c>
      <c r="F937">
        <v>11</v>
      </c>
      <c r="G937" t="s">
        <v>13</v>
      </c>
      <c r="H937" s="2">
        <v>46165</v>
      </c>
      <c r="I937" s="2">
        <v>46165</v>
      </c>
      <c r="J937">
        <v>0</v>
      </c>
      <c r="K937" t="s">
        <v>1344</v>
      </c>
    </row>
    <row r="938" spans="1:11" x14ac:dyDescent="0.35">
      <c r="A938" t="s">
        <v>964</v>
      </c>
      <c r="B938" s="2">
        <v>46174</v>
      </c>
      <c r="C938" t="s">
        <v>19</v>
      </c>
      <c r="D938" t="s">
        <v>20</v>
      </c>
      <c r="E938" t="s">
        <v>43</v>
      </c>
      <c r="F938">
        <v>8</v>
      </c>
      <c r="G938" t="s">
        <v>26</v>
      </c>
      <c r="H938" s="2">
        <v>46175</v>
      </c>
      <c r="I938" s="2"/>
      <c r="K938" t="s">
        <v>26</v>
      </c>
    </row>
    <row r="939" spans="1:11" x14ac:dyDescent="0.35">
      <c r="A939" t="s">
        <v>965</v>
      </c>
      <c r="B939" s="2">
        <v>46169</v>
      </c>
      <c r="C939" t="s">
        <v>19</v>
      </c>
      <c r="D939" t="s">
        <v>20</v>
      </c>
      <c r="E939" t="s">
        <v>55</v>
      </c>
      <c r="F939">
        <v>1</v>
      </c>
      <c r="G939" t="s">
        <v>26</v>
      </c>
      <c r="H939" s="2">
        <v>46171</v>
      </c>
      <c r="I939" s="2"/>
      <c r="K939" t="s">
        <v>26</v>
      </c>
    </row>
    <row r="940" spans="1:11" x14ac:dyDescent="0.35">
      <c r="A940" t="s">
        <v>966</v>
      </c>
      <c r="B940" s="2">
        <v>46178</v>
      </c>
      <c r="C940" t="s">
        <v>15</v>
      </c>
      <c r="D940" t="s">
        <v>16</v>
      </c>
      <c r="E940" t="s">
        <v>55</v>
      </c>
      <c r="F940">
        <v>23</v>
      </c>
      <c r="G940" t="s">
        <v>13</v>
      </c>
      <c r="H940" s="2">
        <v>46179</v>
      </c>
      <c r="I940" s="2">
        <v>46178</v>
      </c>
      <c r="J940">
        <v>-1</v>
      </c>
      <c r="K940" t="s">
        <v>1344</v>
      </c>
    </row>
    <row r="941" spans="1:11" x14ac:dyDescent="0.35">
      <c r="A941" t="s">
        <v>967</v>
      </c>
      <c r="B941" s="2">
        <v>46191</v>
      </c>
      <c r="C941" t="s">
        <v>19</v>
      </c>
      <c r="D941" t="s">
        <v>20</v>
      </c>
      <c r="E941" t="s">
        <v>12</v>
      </c>
      <c r="F941">
        <v>25</v>
      </c>
      <c r="G941" t="s">
        <v>26</v>
      </c>
      <c r="H941" s="2">
        <v>46193</v>
      </c>
      <c r="I941" s="2"/>
      <c r="K941" t="s">
        <v>26</v>
      </c>
    </row>
    <row r="942" spans="1:11" x14ac:dyDescent="0.35">
      <c r="A942" t="s">
        <v>968</v>
      </c>
      <c r="B942" s="2">
        <v>46187</v>
      </c>
      <c r="C942" t="s">
        <v>10</v>
      </c>
      <c r="D942" t="s">
        <v>11</v>
      </c>
      <c r="E942" t="s">
        <v>55</v>
      </c>
      <c r="F942">
        <v>24</v>
      </c>
      <c r="G942" t="s">
        <v>13</v>
      </c>
      <c r="H942" s="2">
        <v>46190</v>
      </c>
      <c r="I942" s="2">
        <v>46189</v>
      </c>
      <c r="J942">
        <v>-1</v>
      </c>
      <c r="K942" t="s">
        <v>1344</v>
      </c>
    </row>
    <row r="943" spans="1:11" x14ac:dyDescent="0.35">
      <c r="A943" t="s">
        <v>969</v>
      </c>
      <c r="B943" s="2">
        <v>46120</v>
      </c>
      <c r="C943" t="s">
        <v>10</v>
      </c>
      <c r="D943" t="s">
        <v>11</v>
      </c>
      <c r="E943" t="s">
        <v>55</v>
      </c>
      <c r="F943">
        <v>8</v>
      </c>
      <c r="G943" t="s">
        <v>13</v>
      </c>
      <c r="H943" s="2">
        <v>46124</v>
      </c>
      <c r="I943" s="2">
        <v>46124</v>
      </c>
      <c r="J943">
        <v>0</v>
      </c>
      <c r="K943" t="s">
        <v>1344</v>
      </c>
    </row>
    <row r="944" spans="1:11" x14ac:dyDescent="0.35">
      <c r="A944" t="s">
        <v>970</v>
      </c>
      <c r="B944" s="2">
        <v>46138</v>
      </c>
      <c r="C944" t="s">
        <v>34</v>
      </c>
      <c r="D944" t="s">
        <v>35</v>
      </c>
      <c r="E944" t="s">
        <v>46</v>
      </c>
      <c r="F944">
        <v>13</v>
      </c>
      <c r="G944" t="s">
        <v>13</v>
      </c>
      <c r="H944" s="2">
        <v>46140</v>
      </c>
      <c r="I944" s="2">
        <v>46139</v>
      </c>
      <c r="J944">
        <v>-1</v>
      </c>
      <c r="K944" t="s">
        <v>1344</v>
      </c>
    </row>
    <row r="945" spans="1:11" x14ac:dyDescent="0.35">
      <c r="A945" t="s">
        <v>971</v>
      </c>
      <c r="B945" s="2">
        <v>46163</v>
      </c>
      <c r="C945" t="s">
        <v>34</v>
      </c>
      <c r="D945" t="s">
        <v>35</v>
      </c>
      <c r="E945" t="s">
        <v>17</v>
      </c>
      <c r="F945">
        <v>22</v>
      </c>
      <c r="G945" t="s">
        <v>13</v>
      </c>
      <c r="H945" s="2">
        <v>46166</v>
      </c>
      <c r="I945" s="2">
        <v>46166</v>
      </c>
      <c r="J945">
        <v>0</v>
      </c>
      <c r="K945" t="s">
        <v>1344</v>
      </c>
    </row>
    <row r="946" spans="1:11" x14ac:dyDescent="0.35">
      <c r="A946" t="s">
        <v>972</v>
      </c>
      <c r="B946" s="2">
        <v>46157</v>
      </c>
      <c r="C946" t="s">
        <v>34</v>
      </c>
      <c r="D946" t="s">
        <v>35</v>
      </c>
      <c r="E946" t="s">
        <v>43</v>
      </c>
      <c r="F946">
        <v>27</v>
      </c>
      <c r="G946" t="s">
        <v>13</v>
      </c>
      <c r="H946" s="2">
        <v>46159</v>
      </c>
      <c r="I946" s="2">
        <v>46158</v>
      </c>
      <c r="J946">
        <v>-1</v>
      </c>
      <c r="K946" t="s">
        <v>1344</v>
      </c>
    </row>
    <row r="947" spans="1:11" x14ac:dyDescent="0.35">
      <c r="A947" t="s">
        <v>973</v>
      </c>
      <c r="B947" s="2">
        <v>46156</v>
      </c>
      <c r="C947" t="s">
        <v>34</v>
      </c>
      <c r="D947" t="s">
        <v>35</v>
      </c>
      <c r="E947" t="s">
        <v>43</v>
      </c>
      <c r="F947">
        <v>4</v>
      </c>
      <c r="G947" t="s">
        <v>13</v>
      </c>
      <c r="H947" s="2">
        <v>46158</v>
      </c>
      <c r="I947" s="2">
        <v>46158</v>
      </c>
      <c r="J947">
        <v>0</v>
      </c>
      <c r="K947" t="s">
        <v>1344</v>
      </c>
    </row>
    <row r="948" spans="1:11" x14ac:dyDescent="0.35">
      <c r="A948" t="s">
        <v>974</v>
      </c>
      <c r="B948" s="2">
        <v>46117</v>
      </c>
      <c r="C948" t="s">
        <v>10</v>
      </c>
      <c r="D948" t="s">
        <v>11</v>
      </c>
      <c r="E948" t="s">
        <v>43</v>
      </c>
      <c r="F948">
        <v>8</v>
      </c>
      <c r="G948" t="s">
        <v>26</v>
      </c>
      <c r="H948" s="2">
        <v>46119</v>
      </c>
      <c r="I948" s="2"/>
      <c r="K948" t="s">
        <v>26</v>
      </c>
    </row>
    <row r="949" spans="1:11" x14ac:dyDescent="0.35">
      <c r="A949" t="s">
        <v>975</v>
      </c>
      <c r="B949" s="2">
        <v>46182</v>
      </c>
      <c r="C949" t="s">
        <v>10</v>
      </c>
      <c r="D949" t="s">
        <v>11</v>
      </c>
      <c r="E949" t="s">
        <v>22</v>
      </c>
      <c r="F949">
        <v>3</v>
      </c>
      <c r="G949" t="s">
        <v>13</v>
      </c>
      <c r="H949" s="2">
        <v>46185</v>
      </c>
      <c r="I949" s="2">
        <v>46184</v>
      </c>
      <c r="J949">
        <v>-1</v>
      </c>
      <c r="K949" t="s">
        <v>1344</v>
      </c>
    </row>
    <row r="950" spans="1:11" x14ac:dyDescent="0.35">
      <c r="A950" t="s">
        <v>976</v>
      </c>
      <c r="B950" s="2">
        <v>46138</v>
      </c>
      <c r="C950" t="s">
        <v>34</v>
      </c>
      <c r="D950" t="s">
        <v>35</v>
      </c>
      <c r="E950" t="s">
        <v>32</v>
      </c>
      <c r="F950">
        <v>29</v>
      </c>
      <c r="G950" t="s">
        <v>13</v>
      </c>
      <c r="H950" s="2">
        <v>46142</v>
      </c>
      <c r="I950" s="2">
        <v>46141</v>
      </c>
      <c r="J950">
        <v>-1</v>
      </c>
      <c r="K950" t="s">
        <v>1344</v>
      </c>
    </row>
    <row r="951" spans="1:11" x14ac:dyDescent="0.35">
      <c r="A951" t="s">
        <v>977</v>
      </c>
      <c r="B951" s="2">
        <v>46180</v>
      </c>
      <c r="C951" t="s">
        <v>10</v>
      </c>
      <c r="D951" t="s">
        <v>11</v>
      </c>
      <c r="E951" t="s">
        <v>17</v>
      </c>
      <c r="F951">
        <v>9</v>
      </c>
      <c r="G951" t="s">
        <v>62</v>
      </c>
      <c r="H951" s="2">
        <v>46183</v>
      </c>
      <c r="I951" s="2">
        <v>46187</v>
      </c>
      <c r="J951">
        <v>4</v>
      </c>
      <c r="K951" t="s">
        <v>62</v>
      </c>
    </row>
    <row r="952" spans="1:11" x14ac:dyDescent="0.35">
      <c r="A952" t="s">
        <v>978</v>
      </c>
      <c r="B952" s="2">
        <v>46131</v>
      </c>
      <c r="C952" t="s">
        <v>15</v>
      </c>
      <c r="D952" t="s">
        <v>16</v>
      </c>
      <c r="E952" t="s">
        <v>43</v>
      </c>
      <c r="F952">
        <v>29</v>
      </c>
      <c r="G952" t="s">
        <v>13</v>
      </c>
      <c r="H952" s="2">
        <v>46135</v>
      </c>
      <c r="I952" s="2">
        <v>46134</v>
      </c>
      <c r="J952">
        <v>-1</v>
      </c>
      <c r="K952" t="s">
        <v>1344</v>
      </c>
    </row>
    <row r="953" spans="1:11" x14ac:dyDescent="0.35">
      <c r="A953" t="s">
        <v>979</v>
      </c>
      <c r="B953" s="2">
        <v>46196</v>
      </c>
      <c r="C953" t="s">
        <v>15</v>
      </c>
      <c r="D953" t="s">
        <v>16</v>
      </c>
      <c r="E953" t="s">
        <v>55</v>
      </c>
      <c r="F953">
        <v>2</v>
      </c>
      <c r="G953" t="s">
        <v>13</v>
      </c>
      <c r="H953" s="2">
        <v>46198</v>
      </c>
      <c r="I953" s="2">
        <v>46198</v>
      </c>
      <c r="J953">
        <v>0</v>
      </c>
      <c r="K953" t="s">
        <v>1344</v>
      </c>
    </row>
    <row r="954" spans="1:11" x14ac:dyDescent="0.35">
      <c r="A954" t="s">
        <v>980</v>
      </c>
      <c r="B954" s="2">
        <v>46132</v>
      </c>
      <c r="C954" t="s">
        <v>19</v>
      </c>
      <c r="D954" t="s">
        <v>20</v>
      </c>
      <c r="E954" t="s">
        <v>55</v>
      </c>
      <c r="F954">
        <v>2</v>
      </c>
      <c r="G954" t="s">
        <v>13</v>
      </c>
      <c r="H954" s="2">
        <v>46133</v>
      </c>
      <c r="I954" s="2">
        <v>46133</v>
      </c>
      <c r="J954">
        <v>0</v>
      </c>
      <c r="K954" t="s">
        <v>1344</v>
      </c>
    </row>
    <row r="955" spans="1:11" x14ac:dyDescent="0.35">
      <c r="A955" t="s">
        <v>981</v>
      </c>
      <c r="B955" s="2">
        <v>46124</v>
      </c>
      <c r="C955" t="s">
        <v>34</v>
      </c>
      <c r="D955" t="s">
        <v>35</v>
      </c>
      <c r="E955" t="s">
        <v>43</v>
      </c>
      <c r="F955">
        <v>28</v>
      </c>
      <c r="G955" t="s">
        <v>13</v>
      </c>
      <c r="H955" s="2">
        <v>46126</v>
      </c>
      <c r="I955" s="2">
        <v>46126</v>
      </c>
      <c r="J955">
        <v>0</v>
      </c>
      <c r="K955" t="s">
        <v>1344</v>
      </c>
    </row>
    <row r="956" spans="1:11" x14ac:dyDescent="0.35">
      <c r="A956" t="s">
        <v>982</v>
      </c>
      <c r="B956" s="2">
        <v>46159</v>
      </c>
      <c r="C956" t="s">
        <v>15</v>
      </c>
      <c r="D956" t="s">
        <v>16</v>
      </c>
      <c r="E956" t="s">
        <v>12</v>
      </c>
      <c r="F956">
        <v>13</v>
      </c>
      <c r="G956" t="s">
        <v>13</v>
      </c>
      <c r="H956" s="2">
        <v>46163</v>
      </c>
      <c r="I956" s="2">
        <v>46163</v>
      </c>
      <c r="J956">
        <v>0</v>
      </c>
      <c r="K956" t="s">
        <v>1344</v>
      </c>
    </row>
    <row r="957" spans="1:11" x14ac:dyDescent="0.35">
      <c r="A957" t="s">
        <v>983</v>
      </c>
      <c r="B957" s="2">
        <v>46113</v>
      </c>
      <c r="C957" t="s">
        <v>15</v>
      </c>
      <c r="D957" t="s">
        <v>16</v>
      </c>
      <c r="E957" t="s">
        <v>43</v>
      </c>
      <c r="F957">
        <v>15</v>
      </c>
      <c r="G957" t="s">
        <v>13</v>
      </c>
      <c r="H957" s="2">
        <v>46116</v>
      </c>
      <c r="I957" s="2">
        <v>46116</v>
      </c>
      <c r="J957">
        <v>0</v>
      </c>
      <c r="K957" t="s">
        <v>1344</v>
      </c>
    </row>
    <row r="958" spans="1:11" x14ac:dyDescent="0.35">
      <c r="A958" t="s">
        <v>984</v>
      </c>
      <c r="B958" s="2">
        <v>46202</v>
      </c>
      <c r="C958" t="s">
        <v>15</v>
      </c>
      <c r="D958" t="s">
        <v>16</v>
      </c>
      <c r="E958" t="s">
        <v>55</v>
      </c>
      <c r="F958">
        <v>28</v>
      </c>
      <c r="G958" t="s">
        <v>13</v>
      </c>
      <c r="H958" s="2">
        <v>46204</v>
      </c>
      <c r="I958" s="2">
        <v>46204</v>
      </c>
      <c r="J958">
        <v>0</v>
      </c>
      <c r="K958" t="s">
        <v>1344</v>
      </c>
    </row>
    <row r="959" spans="1:11" x14ac:dyDescent="0.35">
      <c r="A959" t="s">
        <v>985</v>
      </c>
      <c r="B959" s="2">
        <v>46126</v>
      </c>
      <c r="C959" t="s">
        <v>19</v>
      </c>
      <c r="D959" t="s">
        <v>20</v>
      </c>
      <c r="E959" t="s">
        <v>22</v>
      </c>
      <c r="F959">
        <v>23</v>
      </c>
      <c r="G959" t="s">
        <v>13</v>
      </c>
      <c r="H959" s="2">
        <v>46129</v>
      </c>
      <c r="I959" s="2">
        <v>46129</v>
      </c>
      <c r="J959">
        <v>0</v>
      </c>
      <c r="K959" t="s">
        <v>1344</v>
      </c>
    </row>
    <row r="960" spans="1:11" x14ac:dyDescent="0.35">
      <c r="A960" t="s">
        <v>986</v>
      </c>
      <c r="B960" s="2">
        <v>46176</v>
      </c>
      <c r="C960" t="s">
        <v>10</v>
      </c>
      <c r="D960" t="s">
        <v>11</v>
      </c>
      <c r="E960" t="s">
        <v>24</v>
      </c>
      <c r="F960">
        <v>12</v>
      </c>
      <c r="G960" t="s">
        <v>13</v>
      </c>
      <c r="H960" s="2">
        <v>46179</v>
      </c>
      <c r="I960" s="2">
        <v>46178</v>
      </c>
      <c r="J960">
        <v>-1</v>
      </c>
      <c r="K960" t="s">
        <v>1344</v>
      </c>
    </row>
    <row r="961" spans="1:11" x14ac:dyDescent="0.35">
      <c r="A961" t="s">
        <v>987</v>
      </c>
      <c r="B961" s="2">
        <v>46150</v>
      </c>
      <c r="C961" t="s">
        <v>19</v>
      </c>
      <c r="D961" t="s">
        <v>20</v>
      </c>
      <c r="E961" t="s">
        <v>24</v>
      </c>
      <c r="F961">
        <v>26</v>
      </c>
      <c r="G961" t="s">
        <v>13</v>
      </c>
      <c r="H961" s="2">
        <v>46153</v>
      </c>
      <c r="I961" s="2">
        <v>46152</v>
      </c>
      <c r="J961">
        <v>-1</v>
      </c>
      <c r="K961" t="s">
        <v>1344</v>
      </c>
    </row>
    <row r="962" spans="1:11" x14ac:dyDescent="0.35">
      <c r="A962" t="s">
        <v>988</v>
      </c>
      <c r="B962" s="2">
        <v>46149</v>
      </c>
      <c r="C962" t="s">
        <v>10</v>
      </c>
      <c r="D962" t="s">
        <v>11</v>
      </c>
      <c r="E962" t="s">
        <v>17</v>
      </c>
      <c r="F962">
        <v>4</v>
      </c>
      <c r="G962" t="s">
        <v>13</v>
      </c>
      <c r="H962" s="2">
        <v>46151</v>
      </c>
      <c r="I962" s="2">
        <v>46150</v>
      </c>
      <c r="J962">
        <v>-1</v>
      </c>
      <c r="K962" t="s">
        <v>1344</v>
      </c>
    </row>
    <row r="963" spans="1:11" x14ac:dyDescent="0.35">
      <c r="A963" t="s">
        <v>989</v>
      </c>
      <c r="B963" s="2">
        <v>46123</v>
      </c>
      <c r="C963" t="s">
        <v>34</v>
      </c>
      <c r="D963" t="s">
        <v>35</v>
      </c>
      <c r="E963" t="s">
        <v>17</v>
      </c>
      <c r="F963">
        <v>26</v>
      </c>
      <c r="G963" t="s">
        <v>26</v>
      </c>
      <c r="H963" s="2">
        <v>46126</v>
      </c>
      <c r="I963" s="2"/>
      <c r="K963" t="s">
        <v>26</v>
      </c>
    </row>
    <row r="964" spans="1:11" x14ac:dyDescent="0.35">
      <c r="A964" t="s">
        <v>990</v>
      </c>
      <c r="B964" s="2">
        <v>46189</v>
      </c>
      <c r="C964" t="s">
        <v>34</v>
      </c>
      <c r="D964" t="s">
        <v>35</v>
      </c>
      <c r="E964" t="s">
        <v>43</v>
      </c>
      <c r="F964">
        <v>8</v>
      </c>
      <c r="G964" t="s">
        <v>13</v>
      </c>
      <c r="H964" s="2">
        <v>46192</v>
      </c>
      <c r="I964" s="2">
        <v>46191</v>
      </c>
      <c r="J964">
        <v>-1</v>
      </c>
      <c r="K964" t="s">
        <v>1344</v>
      </c>
    </row>
    <row r="965" spans="1:11" x14ac:dyDescent="0.35">
      <c r="A965" t="s">
        <v>991</v>
      </c>
      <c r="B965" s="2">
        <v>46115</v>
      </c>
      <c r="C965" t="s">
        <v>10</v>
      </c>
      <c r="D965" t="s">
        <v>11</v>
      </c>
      <c r="E965" t="s">
        <v>46</v>
      </c>
      <c r="F965">
        <v>9</v>
      </c>
      <c r="G965" t="s">
        <v>13</v>
      </c>
      <c r="H965" s="2">
        <v>46117</v>
      </c>
      <c r="I965" s="2">
        <v>46117</v>
      </c>
      <c r="J965">
        <v>0</v>
      </c>
      <c r="K965" t="s">
        <v>1344</v>
      </c>
    </row>
    <row r="966" spans="1:11" x14ac:dyDescent="0.35">
      <c r="A966" t="s">
        <v>992</v>
      </c>
      <c r="B966" s="2">
        <v>46145</v>
      </c>
      <c r="C966" t="s">
        <v>15</v>
      </c>
      <c r="D966" t="s">
        <v>16</v>
      </c>
      <c r="E966" t="s">
        <v>43</v>
      </c>
      <c r="F966">
        <v>23</v>
      </c>
      <c r="G966" t="s">
        <v>13</v>
      </c>
      <c r="H966" s="2">
        <v>46148</v>
      </c>
      <c r="I966" s="2">
        <v>46148</v>
      </c>
      <c r="J966">
        <v>0</v>
      </c>
      <c r="K966" t="s">
        <v>1344</v>
      </c>
    </row>
    <row r="967" spans="1:11" x14ac:dyDescent="0.35">
      <c r="A967" t="s">
        <v>993</v>
      </c>
      <c r="B967" s="2">
        <v>46118</v>
      </c>
      <c r="C967" t="s">
        <v>19</v>
      </c>
      <c r="D967" t="s">
        <v>20</v>
      </c>
      <c r="E967" t="s">
        <v>12</v>
      </c>
      <c r="F967">
        <v>5</v>
      </c>
      <c r="G967" t="s">
        <v>13</v>
      </c>
      <c r="H967" s="2">
        <v>46120</v>
      </c>
      <c r="I967" s="2">
        <v>46120</v>
      </c>
      <c r="J967">
        <v>0</v>
      </c>
      <c r="K967" t="s">
        <v>1344</v>
      </c>
    </row>
    <row r="968" spans="1:11" x14ac:dyDescent="0.35">
      <c r="A968" t="s">
        <v>994</v>
      </c>
      <c r="B968" s="2">
        <v>46162</v>
      </c>
      <c r="C968" t="s">
        <v>19</v>
      </c>
      <c r="D968" t="s">
        <v>20</v>
      </c>
      <c r="E968" t="s">
        <v>43</v>
      </c>
      <c r="F968">
        <v>24</v>
      </c>
      <c r="G968" t="s">
        <v>13</v>
      </c>
      <c r="H968" s="2">
        <v>46166</v>
      </c>
      <c r="I968" s="2">
        <v>46165</v>
      </c>
      <c r="J968">
        <v>-1</v>
      </c>
      <c r="K968" t="s">
        <v>1344</v>
      </c>
    </row>
    <row r="969" spans="1:11" x14ac:dyDescent="0.35">
      <c r="A969" t="s">
        <v>995</v>
      </c>
      <c r="B969" s="2">
        <v>46122</v>
      </c>
      <c r="C969" t="s">
        <v>34</v>
      </c>
      <c r="D969" t="s">
        <v>35</v>
      </c>
      <c r="E969" t="s">
        <v>17</v>
      </c>
      <c r="F969">
        <v>20</v>
      </c>
      <c r="G969" t="s">
        <v>13</v>
      </c>
      <c r="H969" s="2">
        <v>46126</v>
      </c>
      <c r="I969" s="2">
        <v>46126</v>
      </c>
      <c r="J969">
        <v>0</v>
      </c>
      <c r="K969" t="s">
        <v>1344</v>
      </c>
    </row>
    <row r="970" spans="1:11" x14ac:dyDescent="0.35">
      <c r="A970" t="s">
        <v>996</v>
      </c>
      <c r="B970" s="2">
        <v>46117</v>
      </c>
      <c r="C970" t="s">
        <v>19</v>
      </c>
      <c r="D970" t="s">
        <v>20</v>
      </c>
      <c r="E970" t="s">
        <v>24</v>
      </c>
      <c r="F970">
        <v>18</v>
      </c>
      <c r="G970" t="s">
        <v>26</v>
      </c>
      <c r="H970" s="2">
        <v>46121</v>
      </c>
      <c r="I970" s="2"/>
      <c r="K970" t="s">
        <v>26</v>
      </c>
    </row>
    <row r="971" spans="1:11" x14ac:dyDescent="0.35">
      <c r="A971" t="s">
        <v>997</v>
      </c>
      <c r="B971" s="2">
        <v>46135</v>
      </c>
      <c r="C971" t="s">
        <v>19</v>
      </c>
      <c r="D971" t="s">
        <v>20</v>
      </c>
      <c r="E971" t="s">
        <v>55</v>
      </c>
      <c r="F971">
        <v>11</v>
      </c>
      <c r="G971" t="s">
        <v>26</v>
      </c>
      <c r="H971" s="2">
        <v>46138</v>
      </c>
      <c r="I971" s="2"/>
      <c r="K971" t="s">
        <v>26</v>
      </c>
    </row>
    <row r="972" spans="1:11" x14ac:dyDescent="0.35">
      <c r="A972" t="s">
        <v>998</v>
      </c>
      <c r="B972" s="2">
        <v>46122</v>
      </c>
      <c r="C972" t="s">
        <v>10</v>
      </c>
      <c r="D972" t="s">
        <v>11</v>
      </c>
      <c r="E972" t="s">
        <v>43</v>
      </c>
      <c r="F972">
        <v>15</v>
      </c>
      <c r="G972" t="s">
        <v>13</v>
      </c>
      <c r="H972" s="2">
        <v>46123</v>
      </c>
      <c r="I972" s="2">
        <v>46122</v>
      </c>
      <c r="J972">
        <v>-1</v>
      </c>
      <c r="K972" t="s">
        <v>1344</v>
      </c>
    </row>
    <row r="973" spans="1:11" x14ac:dyDescent="0.35">
      <c r="A973" t="s">
        <v>999</v>
      </c>
      <c r="B973" s="2">
        <v>46156</v>
      </c>
      <c r="C973" t="s">
        <v>15</v>
      </c>
      <c r="D973" t="s">
        <v>16</v>
      </c>
      <c r="E973" t="s">
        <v>55</v>
      </c>
      <c r="F973">
        <v>28</v>
      </c>
      <c r="G973" t="s">
        <v>26</v>
      </c>
      <c r="H973" s="2">
        <v>46157</v>
      </c>
      <c r="I973" s="2"/>
      <c r="K973" t="s">
        <v>26</v>
      </c>
    </row>
    <row r="974" spans="1:11" x14ac:dyDescent="0.35">
      <c r="A974" t="s">
        <v>1000</v>
      </c>
      <c r="B974" s="2">
        <v>46114</v>
      </c>
      <c r="C974" t="s">
        <v>34</v>
      </c>
      <c r="D974" t="s">
        <v>35</v>
      </c>
      <c r="E974" t="s">
        <v>55</v>
      </c>
      <c r="F974">
        <v>22</v>
      </c>
      <c r="G974" t="s">
        <v>13</v>
      </c>
      <c r="H974" s="2">
        <v>46117</v>
      </c>
      <c r="I974" s="2">
        <v>46117</v>
      </c>
      <c r="J974">
        <v>0</v>
      </c>
      <c r="K974" t="s">
        <v>1344</v>
      </c>
    </row>
    <row r="975" spans="1:11" x14ac:dyDescent="0.35">
      <c r="A975" t="s">
        <v>1001</v>
      </c>
      <c r="B975" s="2">
        <v>46125</v>
      </c>
      <c r="C975" t="s">
        <v>34</v>
      </c>
      <c r="D975" t="s">
        <v>35</v>
      </c>
      <c r="E975" t="s">
        <v>46</v>
      </c>
      <c r="F975">
        <v>9</v>
      </c>
      <c r="G975" t="s">
        <v>13</v>
      </c>
      <c r="H975" s="2">
        <v>46126</v>
      </c>
      <c r="I975" s="2">
        <v>46126</v>
      </c>
      <c r="J975">
        <v>0</v>
      </c>
      <c r="K975" t="s">
        <v>1344</v>
      </c>
    </row>
    <row r="976" spans="1:11" x14ac:dyDescent="0.35">
      <c r="A976" t="s">
        <v>1002</v>
      </c>
      <c r="B976" s="2">
        <v>46152</v>
      </c>
      <c r="C976" t="s">
        <v>15</v>
      </c>
      <c r="D976" t="s">
        <v>16</v>
      </c>
      <c r="E976" t="s">
        <v>55</v>
      </c>
      <c r="F976">
        <v>17</v>
      </c>
      <c r="G976" t="s">
        <v>13</v>
      </c>
      <c r="H976" s="2">
        <v>46154</v>
      </c>
      <c r="I976" s="2">
        <v>46154</v>
      </c>
      <c r="J976">
        <v>0</v>
      </c>
      <c r="K976" t="s">
        <v>1344</v>
      </c>
    </row>
    <row r="977" spans="1:11" x14ac:dyDescent="0.35">
      <c r="A977" t="s">
        <v>1003</v>
      </c>
      <c r="B977" s="2">
        <v>46114</v>
      </c>
      <c r="C977" t="s">
        <v>15</v>
      </c>
      <c r="D977" t="s">
        <v>16</v>
      </c>
      <c r="E977" t="s">
        <v>24</v>
      </c>
      <c r="F977">
        <v>27</v>
      </c>
      <c r="G977" t="s">
        <v>13</v>
      </c>
      <c r="H977" s="2">
        <v>46115</v>
      </c>
      <c r="I977" s="2">
        <v>46115</v>
      </c>
      <c r="J977">
        <v>0</v>
      </c>
      <c r="K977" t="s">
        <v>1344</v>
      </c>
    </row>
    <row r="978" spans="1:11" x14ac:dyDescent="0.35">
      <c r="A978" t="s">
        <v>1004</v>
      </c>
      <c r="B978" s="2">
        <v>46196</v>
      </c>
      <c r="C978" t="s">
        <v>19</v>
      </c>
      <c r="D978" t="s">
        <v>20</v>
      </c>
      <c r="E978" t="s">
        <v>22</v>
      </c>
      <c r="F978">
        <v>26</v>
      </c>
      <c r="G978" t="s">
        <v>13</v>
      </c>
      <c r="H978" s="2">
        <v>46199</v>
      </c>
      <c r="I978" s="2">
        <v>46198</v>
      </c>
      <c r="J978">
        <v>-1</v>
      </c>
      <c r="K978" t="s">
        <v>1344</v>
      </c>
    </row>
    <row r="979" spans="1:11" x14ac:dyDescent="0.35">
      <c r="A979" t="s">
        <v>1005</v>
      </c>
      <c r="B979" s="2">
        <v>46177</v>
      </c>
      <c r="C979" t="s">
        <v>15</v>
      </c>
      <c r="D979" t="s">
        <v>16</v>
      </c>
      <c r="E979" t="s">
        <v>22</v>
      </c>
      <c r="F979">
        <v>12</v>
      </c>
      <c r="G979" t="s">
        <v>13</v>
      </c>
      <c r="H979" s="2">
        <v>46180</v>
      </c>
      <c r="I979" s="2">
        <v>46179</v>
      </c>
      <c r="J979">
        <v>-1</v>
      </c>
      <c r="K979" t="s">
        <v>1344</v>
      </c>
    </row>
    <row r="980" spans="1:11" x14ac:dyDescent="0.35">
      <c r="A980" t="s">
        <v>1006</v>
      </c>
      <c r="B980" s="2">
        <v>46175</v>
      </c>
      <c r="C980" t="s">
        <v>10</v>
      </c>
      <c r="D980" t="s">
        <v>11</v>
      </c>
      <c r="E980" t="s">
        <v>32</v>
      </c>
      <c r="F980">
        <v>7</v>
      </c>
      <c r="G980" t="s">
        <v>13</v>
      </c>
      <c r="H980" s="2">
        <v>46177</v>
      </c>
      <c r="I980" s="2">
        <v>46177</v>
      </c>
      <c r="J980">
        <v>0</v>
      </c>
      <c r="K980" t="s">
        <v>1344</v>
      </c>
    </row>
    <row r="981" spans="1:11" x14ac:dyDescent="0.35">
      <c r="A981" t="s">
        <v>1007</v>
      </c>
      <c r="B981" s="2">
        <v>46185</v>
      </c>
      <c r="C981" t="s">
        <v>19</v>
      </c>
      <c r="D981" t="s">
        <v>20</v>
      </c>
      <c r="E981" t="s">
        <v>12</v>
      </c>
      <c r="F981">
        <v>10</v>
      </c>
      <c r="G981" t="s">
        <v>62</v>
      </c>
      <c r="H981" s="2">
        <v>46189</v>
      </c>
      <c r="I981" s="2">
        <v>46193</v>
      </c>
      <c r="J981">
        <v>4</v>
      </c>
      <c r="K981" t="s">
        <v>62</v>
      </c>
    </row>
    <row r="982" spans="1:11" x14ac:dyDescent="0.35">
      <c r="A982" t="s">
        <v>1008</v>
      </c>
      <c r="B982" s="2">
        <v>46129</v>
      </c>
      <c r="C982" t="s">
        <v>19</v>
      </c>
      <c r="D982" t="s">
        <v>20</v>
      </c>
      <c r="E982" t="s">
        <v>43</v>
      </c>
      <c r="F982">
        <v>25</v>
      </c>
      <c r="G982" t="s">
        <v>13</v>
      </c>
      <c r="H982" s="2">
        <v>46132</v>
      </c>
      <c r="I982" s="2">
        <v>46132</v>
      </c>
      <c r="J982">
        <v>0</v>
      </c>
      <c r="K982" t="s">
        <v>1344</v>
      </c>
    </row>
    <row r="983" spans="1:11" x14ac:dyDescent="0.35">
      <c r="A983" t="s">
        <v>1009</v>
      </c>
      <c r="B983" s="2">
        <v>46121</v>
      </c>
      <c r="C983" t="s">
        <v>15</v>
      </c>
      <c r="D983" t="s">
        <v>16</v>
      </c>
      <c r="E983" t="s">
        <v>12</v>
      </c>
      <c r="F983">
        <v>26</v>
      </c>
      <c r="G983" t="s">
        <v>13</v>
      </c>
      <c r="H983" s="2">
        <v>46123</v>
      </c>
      <c r="I983" s="2">
        <v>46123</v>
      </c>
      <c r="J983">
        <v>0</v>
      </c>
      <c r="K983" t="s">
        <v>1344</v>
      </c>
    </row>
    <row r="984" spans="1:11" x14ac:dyDescent="0.35">
      <c r="A984" t="s">
        <v>1010</v>
      </c>
      <c r="B984" s="2">
        <v>46187</v>
      </c>
      <c r="C984" t="s">
        <v>19</v>
      </c>
      <c r="D984" t="s">
        <v>20</v>
      </c>
      <c r="E984" t="s">
        <v>24</v>
      </c>
      <c r="F984">
        <v>25</v>
      </c>
      <c r="G984" t="s">
        <v>13</v>
      </c>
      <c r="H984" s="2">
        <v>46188</v>
      </c>
      <c r="I984" s="2">
        <v>46188</v>
      </c>
      <c r="J984">
        <v>0</v>
      </c>
      <c r="K984" t="s">
        <v>1344</v>
      </c>
    </row>
    <row r="985" spans="1:11" x14ac:dyDescent="0.35">
      <c r="A985" t="s">
        <v>1011</v>
      </c>
      <c r="B985" s="2">
        <v>46127</v>
      </c>
      <c r="C985" t="s">
        <v>15</v>
      </c>
      <c r="D985" t="s">
        <v>16</v>
      </c>
      <c r="E985" t="s">
        <v>55</v>
      </c>
      <c r="F985">
        <v>10</v>
      </c>
      <c r="G985" t="s">
        <v>26</v>
      </c>
      <c r="H985" s="2">
        <v>46128</v>
      </c>
      <c r="I985" s="2"/>
      <c r="K985" t="s">
        <v>26</v>
      </c>
    </row>
    <row r="986" spans="1:11" x14ac:dyDescent="0.35">
      <c r="A986" t="s">
        <v>1012</v>
      </c>
      <c r="B986" s="2">
        <v>46136</v>
      </c>
      <c r="C986" t="s">
        <v>15</v>
      </c>
      <c r="D986" t="s">
        <v>16</v>
      </c>
      <c r="E986" t="s">
        <v>22</v>
      </c>
      <c r="F986">
        <v>27</v>
      </c>
      <c r="G986" t="s">
        <v>13</v>
      </c>
      <c r="H986" s="2">
        <v>46138</v>
      </c>
      <c r="I986" s="2">
        <v>46138</v>
      </c>
      <c r="J986">
        <v>0</v>
      </c>
      <c r="K986" t="s">
        <v>1344</v>
      </c>
    </row>
    <row r="987" spans="1:11" x14ac:dyDescent="0.35">
      <c r="A987" t="s">
        <v>1013</v>
      </c>
      <c r="B987" s="2">
        <v>46150</v>
      </c>
      <c r="C987" t="s">
        <v>10</v>
      </c>
      <c r="D987" t="s">
        <v>11</v>
      </c>
      <c r="E987" t="s">
        <v>12</v>
      </c>
      <c r="F987">
        <v>13</v>
      </c>
      <c r="G987" t="s">
        <v>13</v>
      </c>
      <c r="H987" s="2">
        <v>46152</v>
      </c>
      <c r="I987" s="2">
        <v>46151</v>
      </c>
      <c r="J987">
        <v>-1</v>
      </c>
      <c r="K987" t="s">
        <v>1344</v>
      </c>
    </row>
    <row r="988" spans="1:11" x14ac:dyDescent="0.35">
      <c r="A988" t="s">
        <v>1014</v>
      </c>
      <c r="B988" s="2">
        <v>46147</v>
      </c>
      <c r="C988" t="s">
        <v>34</v>
      </c>
      <c r="D988" t="s">
        <v>35</v>
      </c>
      <c r="E988" t="s">
        <v>24</v>
      </c>
      <c r="F988">
        <v>19</v>
      </c>
      <c r="G988" t="s">
        <v>13</v>
      </c>
      <c r="H988" s="2">
        <v>46150</v>
      </c>
      <c r="I988" s="2">
        <v>46150</v>
      </c>
      <c r="J988">
        <v>0</v>
      </c>
      <c r="K988" t="s">
        <v>1344</v>
      </c>
    </row>
    <row r="989" spans="1:11" x14ac:dyDescent="0.35">
      <c r="A989" t="s">
        <v>1015</v>
      </c>
      <c r="B989" s="2">
        <v>46161</v>
      </c>
      <c r="C989" t="s">
        <v>34</v>
      </c>
      <c r="D989" t="s">
        <v>35</v>
      </c>
      <c r="E989" t="s">
        <v>22</v>
      </c>
      <c r="F989">
        <v>11</v>
      </c>
      <c r="G989" t="s">
        <v>13</v>
      </c>
      <c r="H989" s="2">
        <v>46162</v>
      </c>
      <c r="I989" s="2">
        <v>46162</v>
      </c>
      <c r="J989">
        <v>0</v>
      </c>
      <c r="K989" t="s">
        <v>1344</v>
      </c>
    </row>
    <row r="990" spans="1:11" x14ac:dyDescent="0.35">
      <c r="A990" t="s">
        <v>1016</v>
      </c>
      <c r="B990" s="2">
        <v>46181</v>
      </c>
      <c r="C990" t="s">
        <v>10</v>
      </c>
      <c r="D990" t="s">
        <v>11</v>
      </c>
      <c r="E990" t="s">
        <v>55</v>
      </c>
      <c r="F990">
        <v>13</v>
      </c>
      <c r="G990" t="s">
        <v>26</v>
      </c>
      <c r="H990" s="2">
        <v>46183</v>
      </c>
      <c r="I990" s="2"/>
      <c r="K990" t="s">
        <v>26</v>
      </c>
    </row>
    <row r="991" spans="1:11" x14ac:dyDescent="0.35">
      <c r="A991" t="s">
        <v>1017</v>
      </c>
      <c r="B991" s="2">
        <v>46174</v>
      </c>
      <c r="C991" t="s">
        <v>15</v>
      </c>
      <c r="D991" t="s">
        <v>16</v>
      </c>
      <c r="E991" t="s">
        <v>12</v>
      </c>
      <c r="F991">
        <v>21</v>
      </c>
      <c r="G991" t="s">
        <v>13</v>
      </c>
      <c r="H991" s="2">
        <v>46175</v>
      </c>
      <c r="I991" s="2">
        <v>46174</v>
      </c>
      <c r="J991">
        <v>-1</v>
      </c>
      <c r="K991" t="s">
        <v>1344</v>
      </c>
    </row>
    <row r="992" spans="1:11" x14ac:dyDescent="0.35">
      <c r="A992" t="s">
        <v>1018</v>
      </c>
      <c r="B992" s="2">
        <v>46172</v>
      </c>
      <c r="C992" t="s">
        <v>15</v>
      </c>
      <c r="D992" t="s">
        <v>16</v>
      </c>
      <c r="E992" t="s">
        <v>22</v>
      </c>
      <c r="F992">
        <v>8</v>
      </c>
      <c r="G992" t="s">
        <v>13</v>
      </c>
      <c r="H992" s="2">
        <v>46174</v>
      </c>
      <c r="I992" s="2">
        <v>46174</v>
      </c>
      <c r="J992">
        <v>0</v>
      </c>
      <c r="K992" t="s">
        <v>1344</v>
      </c>
    </row>
    <row r="993" spans="1:11" x14ac:dyDescent="0.35">
      <c r="A993" t="s">
        <v>1019</v>
      </c>
      <c r="B993" s="2">
        <v>46162</v>
      </c>
      <c r="C993" t="s">
        <v>34</v>
      </c>
      <c r="D993" t="s">
        <v>35</v>
      </c>
      <c r="E993" t="s">
        <v>43</v>
      </c>
      <c r="F993">
        <v>8</v>
      </c>
      <c r="G993" t="s">
        <v>62</v>
      </c>
      <c r="H993" s="2">
        <v>46163</v>
      </c>
      <c r="I993" s="2">
        <v>46167</v>
      </c>
      <c r="J993">
        <v>4</v>
      </c>
      <c r="K993" t="s">
        <v>62</v>
      </c>
    </row>
    <row r="994" spans="1:11" x14ac:dyDescent="0.35">
      <c r="A994" t="s">
        <v>1020</v>
      </c>
      <c r="B994" s="2">
        <v>46190</v>
      </c>
      <c r="C994" t="s">
        <v>10</v>
      </c>
      <c r="D994" t="s">
        <v>11</v>
      </c>
      <c r="E994" t="s">
        <v>17</v>
      </c>
      <c r="F994">
        <v>4</v>
      </c>
      <c r="G994" t="s">
        <v>13</v>
      </c>
      <c r="H994" s="2">
        <v>46194</v>
      </c>
      <c r="I994" s="2">
        <v>46194</v>
      </c>
      <c r="J994">
        <v>0</v>
      </c>
      <c r="K994" t="s">
        <v>1344</v>
      </c>
    </row>
    <row r="995" spans="1:11" x14ac:dyDescent="0.35">
      <c r="A995" t="s">
        <v>1021</v>
      </c>
      <c r="B995" s="2">
        <v>46187</v>
      </c>
      <c r="C995" t="s">
        <v>10</v>
      </c>
      <c r="D995" t="s">
        <v>11</v>
      </c>
      <c r="E995" t="s">
        <v>43</v>
      </c>
      <c r="F995">
        <v>15</v>
      </c>
      <c r="G995" t="s">
        <v>13</v>
      </c>
      <c r="H995" s="2">
        <v>46190</v>
      </c>
      <c r="I995" s="2">
        <v>46190</v>
      </c>
      <c r="J995">
        <v>0</v>
      </c>
      <c r="K995" t="s">
        <v>1344</v>
      </c>
    </row>
    <row r="996" spans="1:11" x14ac:dyDescent="0.35">
      <c r="A996" t="s">
        <v>1022</v>
      </c>
      <c r="B996" s="2">
        <v>46121</v>
      </c>
      <c r="C996" t="s">
        <v>15</v>
      </c>
      <c r="D996" t="s">
        <v>16</v>
      </c>
      <c r="E996" t="s">
        <v>32</v>
      </c>
      <c r="F996">
        <v>28</v>
      </c>
      <c r="G996" t="s">
        <v>13</v>
      </c>
      <c r="H996" s="2">
        <v>46122</v>
      </c>
      <c r="I996" s="2">
        <v>46122</v>
      </c>
      <c r="J996">
        <v>0</v>
      </c>
      <c r="K996" t="s">
        <v>1344</v>
      </c>
    </row>
    <row r="997" spans="1:11" x14ac:dyDescent="0.35">
      <c r="A997" t="s">
        <v>1023</v>
      </c>
      <c r="B997" s="2">
        <v>46146</v>
      </c>
      <c r="C997" t="s">
        <v>34</v>
      </c>
      <c r="D997" t="s">
        <v>35</v>
      </c>
      <c r="E997" t="s">
        <v>32</v>
      </c>
      <c r="F997">
        <v>11</v>
      </c>
      <c r="G997" t="s">
        <v>62</v>
      </c>
      <c r="H997" s="2">
        <v>46150</v>
      </c>
      <c r="I997" s="2">
        <v>46153</v>
      </c>
      <c r="J997">
        <v>3</v>
      </c>
      <c r="K997" t="s">
        <v>62</v>
      </c>
    </row>
    <row r="998" spans="1:11" x14ac:dyDescent="0.35">
      <c r="A998" t="s">
        <v>1024</v>
      </c>
      <c r="B998" s="2">
        <v>46188</v>
      </c>
      <c r="C998" t="s">
        <v>15</v>
      </c>
      <c r="D998" t="s">
        <v>16</v>
      </c>
      <c r="E998" t="s">
        <v>22</v>
      </c>
      <c r="F998">
        <v>11</v>
      </c>
      <c r="G998" t="s">
        <v>13</v>
      </c>
      <c r="H998" s="2">
        <v>46189</v>
      </c>
      <c r="I998" s="2">
        <v>46189</v>
      </c>
      <c r="J998">
        <v>0</v>
      </c>
      <c r="K998" t="s">
        <v>1344</v>
      </c>
    </row>
    <row r="999" spans="1:11" x14ac:dyDescent="0.35">
      <c r="A999" t="s">
        <v>1025</v>
      </c>
      <c r="B999" s="2">
        <v>46147</v>
      </c>
      <c r="C999" t="s">
        <v>15</v>
      </c>
      <c r="D999" t="s">
        <v>16</v>
      </c>
      <c r="E999" t="s">
        <v>17</v>
      </c>
      <c r="F999">
        <v>1</v>
      </c>
      <c r="G999" t="s">
        <v>13</v>
      </c>
      <c r="H999" s="2">
        <v>46148</v>
      </c>
      <c r="I999" s="2">
        <v>46148</v>
      </c>
      <c r="J999">
        <v>0</v>
      </c>
      <c r="K999" t="s">
        <v>1344</v>
      </c>
    </row>
    <row r="1000" spans="1:11" x14ac:dyDescent="0.35">
      <c r="A1000" t="s">
        <v>1026</v>
      </c>
      <c r="B1000" s="2">
        <v>46113</v>
      </c>
      <c r="C1000" t="s">
        <v>19</v>
      </c>
      <c r="D1000" t="s">
        <v>20</v>
      </c>
      <c r="E1000" t="s">
        <v>24</v>
      </c>
      <c r="F1000">
        <v>17</v>
      </c>
      <c r="G1000" t="s">
        <v>13</v>
      </c>
      <c r="H1000" s="2">
        <v>46117</v>
      </c>
      <c r="I1000" s="2">
        <v>46116</v>
      </c>
      <c r="J1000">
        <v>-1</v>
      </c>
      <c r="K1000" t="s">
        <v>1344</v>
      </c>
    </row>
    <row r="1001" spans="1:11" x14ac:dyDescent="0.35">
      <c r="A1001" t="s">
        <v>1027</v>
      </c>
      <c r="B1001" s="2">
        <v>46152</v>
      </c>
      <c r="C1001" t="s">
        <v>15</v>
      </c>
      <c r="D1001" t="s">
        <v>16</v>
      </c>
      <c r="E1001" t="s">
        <v>43</v>
      </c>
      <c r="F1001">
        <v>15</v>
      </c>
      <c r="G1001" t="s">
        <v>13</v>
      </c>
      <c r="H1001" s="2">
        <v>46153</v>
      </c>
      <c r="I1001" s="2">
        <v>46153</v>
      </c>
      <c r="J1001">
        <v>0</v>
      </c>
      <c r="K1001" t="s">
        <v>1344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1001"/>
  <sheetViews>
    <sheetView workbookViewId="0">
      <selection activeCell="K7" sqref="K7"/>
    </sheetView>
  </sheetViews>
  <sheetFormatPr defaultRowHeight="14.5" x14ac:dyDescent="0.35"/>
  <cols>
    <col min="1" max="1" width="10.54296875" customWidth="1"/>
    <col min="2" max="2" width="17.81640625" style="2" bestFit="1" customWidth="1"/>
    <col min="3" max="3" width="8.453125" customWidth="1"/>
    <col min="4" max="4" width="12.453125" customWidth="1"/>
    <col min="5" max="5" width="9.453125" customWidth="1"/>
    <col min="6" max="6" width="10.1796875" customWidth="1"/>
    <col min="7" max="7" width="14" customWidth="1"/>
    <col min="8" max="8" width="23.7265625" style="2" customWidth="1"/>
    <col min="9" max="9" width="21.36328125" style="2" customWidth="1"/>
  </cols>
  <sheetData>
    <row r="1" spans="1:9" x14ac:dyDescent="0.35">
      <c r="A1" s="1" t="s">
        <v>0</v>
      </c>
      <c r="B1" s="16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6" t="s">
        <v>7</v>
      </c>
      <c r="I1" s="16" t="s">
        <v>8</v>
      </c>
    </row>
    <row r="2" spans="1:9" x14ac:dyDescent="0.35">
      <c r="A2" t="s">
        <v>9</v>
      </c>
      <c r="B2" s="2">
        <v>46164</v>
      </c>
      <c r="C2" t="s">
        <v>10</v>
      </c>
      <c r="D2" t="s">
        <v>11</v>
      </c>
      <c r="E2" t="s">
        <v>12</v>
      </c>
      <c r="F2">
        <v>9</v>
      </c>
      <c r="G2" t="s">
        <v>13</v>
      </c>
      <c r="H2" s="2">
        <v>46168</v>
      </c>
      <c r="I2" s="2">
        <v>46167</v>
      </c>
    </row>
    <row r="3" spans="1:9" x14ac:dyDescent="0.35">
      <c r="A3" t="s">
        <v>14</v>
      </c>
      <c r="B3" s="2">
        <v>46127</v>
      </c>
      <c r="C3" t="s">
        <v>15</v>
      </c>
      <c r="D3" t="s">
        <v>16</v>
      </c>
      <c r="E3" t="s">
        <v>17</v>
      </c>
      <c r="F3">
        <v>1</v>
      </c>
      <c r="G3" t="s">
        <v>13</v>
      </c>
      <c r="H3" s="2">
        <v>46129</v>
      </c>
      <c r="I3" s="2">
        <v>46129</v>
      </c>
    </row>
    <row r="4" spans="1:9" x14ac:dyDescent="0.35">
      <c r="A4" t="s">
        <v>18</v>
      </c>
      <c r="B4" s="2">
        <v>46184</v>
      </c>
      <c r="C4" t="s">
        <v>19</v>
      </c>
      <c r="D4" t="s">
        <v>20</v>
      </c>
      <c r="E4" t="s">
        <v>17</v>
      </c>
      <c r="F4">
        <v>24</v>
      </c>
      <c r="G4" t="s">
        <v>13</v>
      </c>
      <c r="H4" s="2">
        <v>46188</v>
      </c>
      <c r="I4" s="2">
        <v>46187</v>
      </c>
    </row>
    <row r="5" spans="1:9" x14ac:dyDescent="0.35">
      <c r="A5" t="s">
        <v>21</v>
      </c>
      <c r="B5" s="2">
        <v>46173</v>
      </c>
      <c r="C5" t="s">
        <v>19</v>
      </c>
      <c r="D5" t="s">
        <v>20</v>
      </c>
      <c r="E5" t="s">
        <v>22</v>
      </c>
      <c r="F5">
        <v>20</v>
      </c>
      <c r="G5" t="s">
        <v>13</v>
      </c>
      <c r="H5" s="2">
        <v>46175</v>
      </c>
      <c r="I5" s="2">
        <v>46174</v>
      </c>
    </row>
    <row r="6" spans="1:9" x14ac:dyDescent="0.35">
      <c r="A6" t="s">
        <v>23</v>
      </c>
      <c r="B6" s="2">
        <v>46133</v>
      </c>
      <c r="C6" t="s">
        <v>10</v>
      </c>
      <c r="D6" t="s">
        <v>11</v>
      </c>
      <c r="E6" t="s">
        <v>24</v>
      </c>
      <c r="F6">
        <v>25</v>
      </c>
      <c r="G6" t="s">
        <v>13</v>
      </c>
      <c r="H6" s="2">
        <v>46137</v>
      </c>
      <c r="I6" s="2">
        <v>46137</v>
      </c>
    </row>
    <row r="7" spans="1:9" x14ac:dyDescent="0.35">
      <c r="A7" t="s">
        <v>25</v>
      </c>
      <c r="B7" s="2">
        <v>46195</v>
      </c>
      <c r="C7" t="s">
        <v>19</v>
      </c>
      <c r="D7" t="s">
        <v>20</v>
      </c>
      <c r="E7" t="s">
        <v>22</v>
      </c>
      <c r="F7">
        <v>14</v>
      </c>
      <c r="G7" t="s">
        <v>26</v>
      </c>
      <c r="H7" s="2">
        <v>46196</v>
      </c>
    </row>
    <row r="8" spans="1:9" x14ac:dyDescent="0.35">
      <c r="A8" t="s">
        <v>27</v>
      </c>
      <c r="B8" s="2">
        <v>46199</v>
      </c>
      <c r="C8" t="s">
        <v>19</v>
      </c>
      <c r="D8" t="s">
        <v>20</v>
      </c>
      <c r="E8" t="s">
        <v>22</v>
      </c>
      <c r="F8">
        <v>11</v>
      </c>
      <c r="G8" t="s">
        <v>13</v>
      </c>
      <c r="H8" s="2">
        <v>46202</v>
      </c>
      <c r="I8" s="2">
        <v>46202</v>
      </c>
    </row>
    <row r="9" spans="1:9" x14ac:dyDescent="0.35">
      <c r="A9" t="s">
        <v>28</v>
      </c>
      <c r="B9" s="2">
        <v>46187</v>
      </c>
      <c r="C9" t="s">
        <v>15</v>
      </c>
      <c r="D9" t="s">
        <v>16</v>
      </c>
      <c r="E9" t="s">
        <v>12</v>
      </c>
      <c r="F9">
        <v>21</v>
      </c>
      <c r="G9" t="s">
        <v>13</v>
      </c>
      <c r="H9" s="2">
        <v>46190</v>
      </c>
      <c r="I9" s="2">
        <v>46189</v>
      </c>
    </row>
    <row r="10" spans="1:9" x14ac:dyDescent="0.35">
      <c r="A10" t="s">
        <v>29</v>
      </c>
      <c r="B10" s="2">
        <v>46187</v>
      </c>
      <c r="C10" t="s">
        <v>15</v>
      </c>
      <c r="D10" t="s">
        <v>16</v>
      </c>
      <c r="E10" t="s">
        <v>17</v>
      </c>
      <c r="F10">
        <v>3</v>
      </c>
      <c r="G10" t="s">
        <v>13</v>
      </c>
      <c r="H10" s="2">
        <v>46188</v>
      </c>
      <c r="I10" s="2">
        <v>46187</v>
      </c>
    </row>
    <row r="11" spans="1:9" x14ac:dyDescent="0.35">
      <c r="A11" t="s">
        <v>30</v>
      </c>
      <c r="B11" s="2">
        <v>46200</v>
      </c>
      <c r="C11" t="s">
        <v>10</v>
      </c>
      <c r="D11" t="s">
        <v>11</v>
      </c>
      <c r="E11" t="s">
        <v>24</v>
      </c>
      <c r="F11">
        <v>9</v>
      </c>
      <c r="G11" t="s">
        <v>13</v>
      </c>
      <c r="H11" s="2">
        <v>46202</v>
      </c>
      <c r="I11" s="2">
        <v>46201</v>
      </c>
    </row>
    <row r="12" spans="1:9" x14ac:dyDescent="0.35">
      <c r="A12" t="s">
        <v>31</v>
      </c>
      <c r="B12" s="2">
        <v>46136</v>
      </c>
      <c r="C12" t="s">
        <v>19</v>
      </c>
      <c r="D12" t="s">
        <v>20</v>
      </c>
      <c r="E12" t="s">
        <v>32</v>
      </c>
      <c r="F12">
        <v>27</v>
      </c>
      <c r="G12" t="s">
        <v>26</v>
      </c>
      <c r="H12" s="2">
        <v>46138</v>
      </c>
    </row>
    <row r="13" spans="1:9" x14ac:dyDescent="0.35">
      <c r="A13" t="s">
        <v>33</v>
      </c>
      <c r="B13" s="2">
        <v>46115</v>
      </c>
      <c r="C13" t="s">
        <v>34</v>
      </c>
      <c r="D13" t="s">
        <v>35</v>
      </c>
      <c r="E13" t="s">
        <v>12</v>
      </c>
      <c r="F13">
        <v>14</v>
      </c>
      <c r="G13" t="s">
        <v>13</v>
      </c>
      <c r="H13" s="2">
        <v>46117</v>
      </c>
      <c r="I13" s="2">
        <v>46116</v>
      </c>
    </row>
    <row r="14" spans="1:9" x14ac:dyDescent="0.35">
      <c r="A14" t="s">
        <v>36</v>
      </c>
      <c r="B14" s="2">
        <v>46134</v>
      </c>
      <c r="C14" t="s">
        <v>10</v>
      </c>
      <c r="D14" t="s">
        <v>11</v>
      </c>
      <c r="E14" t="s">
        <v>22</v>
      </c>
      <c r="F14">
        <v>30</v>
      </c>
      <c r="G14" t="s">
        <v>13</v>
      </c>
      <c r="H14" s="2">
        <v>46135</v>
      </c>
      <c r="I14" s="2">
        <v>46135</v>
      </c>
    </row>
    <row r="15" spans="1:9" x14ac:dyDescent="0.35">
      <c r="A15" t="s">
        <v>37</v>
      </c>
      <c r="B15" s="2">
        <v>46165</v>
      </c>
      <c r="C15" t="s">
        <v>10</v>
      </c>
      <c r="D15" t="s">
        <v>11</v>
      </c>
      <c r="E15" t="s">
        <v>22</v>
      </c>
      <c r="F15">
        <v>9</v>
      </c>
      <c r="G15" t="s">
        <v>13</v>
      </c>
      <c r="H15" s="2">
        <v>46167</v>
      </c>
      <c r="I15" s="2">
        <v>46167</v>
      </c>
    </row>
    <row r="16" spans="1:9" x14ac:dyDescent="0.35">
      <c r="A16" t="s">
        <v>38</v>
      </c>
      <c r="B16" s="2">
        <v>46114</v>
      </c>
      <c r="C16" t="s">
        <v>34</v>
      </c>
      <c r="D16" t="s">
        <v>35</v>
      </c>
      <c r="E16" t="s">
        <v>32</v>
      </c>
      <c r="F16">
        <v>4</v>
      </c>
      <c r="G16" t="s">
        <v>13</v>
      </c>
      <c r="H16" s="2">
        <v>46115</v>
      </c>
      <c r="I16" s="2">
        <v>46115</v>
      </c>
    </row>
    <row r="17" spans="1:9" x14ac:dyDescent="0.35">
      <c r="A17" t="s">
        <v>39</v>
      </c>
      <c r="B17" s="2">
        <v>46200</v>
      </c>
      <c r="C17" t="s">
        <v>10</v>
      </c>
      <c r="D17" t="s">
        <v>11</v>
      </c>
      <c r="E17" t="s">
        <v>22</v>
      </c>
      <c r="F17">
        <v>27</v>
      </c>
      <c r="G17" t="s">
        <v>13</v>
      </c>
      <c r="H17" s="2">
        <v>46204</v>
      </c>
      <c r="I17" s="2">
        <v>46203</v>
      </c>
    </row>
    <row r="18" spans="1:9" x14ac:dyDescent="0.35">
      <c r="A18" t="s">
        <v>40</v>
      </c>
      <c r="B18" s="2">
        <v>46142</v>
      </c>
      <c r="C18" t="s">
        <v>19</v>
      </c>
      <c r="D18" t="s">
        <v>20</v>
      </c>
      <c r="E18" t="s">
        <v>22</v>
      </c>
      <c r="F18">
        <v>4</v>
      </c>
      <c r="G18" t="s">
        <v>13</v>
      </c>
      <c r="H18" s="2">
        <v>46146</v>
      </c>
      <c r="I18" s="2">
        <v>46145</v>
      </c>
    </row>
    <row r="19" spans="1:9" x14ac:dyDescent="0.35">
      <c r="A19" t="s">
        <v>41</v>
      </c>
      <c r="B19" s="2">
        <v>46150</v>
      </c>
      <c r="C19" t="s">
        <v>10</v>
      </c>
      <c r="D19" t="s">
        <v>11</v>
      </c>
      <c r="E19" t="s">
        <v>22</v>
      </c>
      <c r="F19">
        <v>28</v>
      </c>
      <c r="G19" t="s">
        <v>13</v>
      </c>
      <c r="H19" s="2">
        <v>46151</v>
      </c>
      <c r="I19" s="2">
        <v>46151</v>
      </c>
    </row>
    <row r="20" spans="1:9" x14ac:dyDescent="0.35">
      <c r="A20" t="s">
        <v>42</v>
      </c>
      <c r="B20" s="2">
        <v>46114</v>
      </c>
      <c r="C20" t="s">
        <v>34</v>
      </c>
      <c r="D20" t="s">
        <v>35</v>
      </c>
      <c r="E20" t="s">
        <v>43</v>
      </c>
      <c r="F20">
        <v>8</v>
      </c>
      <c r="G20" t="s">
        <v>26</v>
      </c>
      <c r="H20" s="2">
        <v>46117</v>
      </c>
    </row>
    <row r="21" spans="1:9" x14ac:dyDescent="0.35">
      <c r="A21" t="s">
        <v>44</v>
      </c>
      <c r="B21" s="2">
        <v>46176</v>
      </c>
      <c r="C21" t="s">
        <v>34</v>
      </c>
      <c r="D21" t="s">
        <v>35</v>
      </c>
      <c r="E21" t="s">
        <v>12</v>
      </c>
      <c r="F21">
        <v>2</v>
      </c>
      <c r="G21" t="s">
        <v>13</v>
      </c>
      <c r="H21" s="2">
        <v>46180</v>
      </c>
      <c r="I21" s="2">
        <v>46180</v>
      </c>
    </row>
    <row r="22" spans="1:9" x14ac:dyDescent="0.35">
      <c r="A22" t="s">
        <v>45</v>
      </c>
      <c r="B22" s="2">
        <v>46172</v>
      </c>
      <c r="C22" t="s">
        <v>10</v>
      </c>
      <c r="D22" t="s">
        <v>11</v>
      </c>
      <c r="E22" t="s">
        <v>46</v>
      </c>
      <c r="F22">
        <v>9</v>
      </c>
      <c r="G22" t="s">
        <v>26</v>
      </c>
      <c r="H22" s="2">
        <v>46174</v>
      </c>
    </row>
    <row r="23" spans="1:9" x14ac:dyDescent="0.35">
      <c r="A23" t="s">
        <v>47</v>
      </c>
      <c r="B23" s="2">
        <v>46133</v>
      </c>
      <c r="C23" t="s">
        <v>34</v>
      </c>
      <c r="D23" t="s">
        <v>35</v>
      </c>
      <c r="E23" t="s">
        <v>12</v>
      </c>
      <c r="F23">
        <v>29</v>
      </c>
      <c r="G23" t="s">
        <v>26</v>
      </c>
      <c r="H23" s="2">
        <v>46134</v>
      </c>
    </row>
    <row r="24" spans="1:9" x14ac:dyDescent="0.35">
      <c r="A24" t="s">
        <v>48</v>
      </c>
      <c r="B24" s="2">
        <v>46145</v>
      </c>
      <c r="C24" t="s">
        <v>34</v>
      </c>
      <c r="D24" t="s">
        <v>35</v>
      </c>
      <c r="E24" t="s">
        <v>32</v>
      </c>
      <c r="F24">
        <v>14</v>
      </c>
      <c r="G24" t="s">
        <v>26</v>
      </c>
      <c r="H24" s="2">
        <v>46147</v>
      </c>
    </row>
    <row r="25" spans="1:9" x14ac:dyDescent="0.35">
      <c r="A25" t="s">
        <v>49</v>
      </c>
      <c r="B25" s="2">
        <v>46188</v>
      </c>
      <c r="C25" t="s">
        <v>34</v>
      </c>
      <c r="D25" t="s">
        <v>35</v>
      </c>
      <c r="E25" t="s">
        <v>22</v>
      </c>
      <c r="F25">
        <v>22</v>
      </c>
      <c r="G25" t="s">
        <v>13</v>
      </c>
      <c r="H25" s="2">
        <v>46190</v>
      </c>
      <c r="I25" s="2">
        <v>46189</v>
      </c>
    </row>
    <row r="26" spans="1:9" x14ac:dyDescent="0.35">
      <c r="A26" t="s">
        <v>50</v>
      </c>
      <c r="B26" s="2">
        <v>46170</v>
      </c>
      <c r="C26" t="s">
        <v>15</v>
      </c>
      <c r="D26" t="s">
        <v>16</v>
      </c>
      <c r="E26" t="s">
        <v>12</v>
      </c>
      <c r="F26">
        <v>9</v>
      </c>
      <c r="G26" t="s">
        <v>13</v>
      </c>
      <c r="H26" s="2">
        <v>46173</v>
      </c>
      <c r="I26" s="2">
        <v>46172</v>
      </c>
    </row>
    <row r="27" spans="1:9" x14ac:dyDescent="0.35">
      <c r="A27" t="s">
        <v>51</v>
      </c>
      <c r="B27" s="2">
        <v>46134</v>
      </c>
      <c r="C27" t="s">
        <v>15</v>
      </c>
      <c r="D27" t="s">
        <v>16</v>
      </c>
      <c r="E27" t="s">
        <v>43</v>
      </c>
      <c r="F27">
        <v>24</v>
      </c>
      <c r="G27" t="s">
        <v>26</v>
      </c>
      <c r="H27" s="2">
        <v>46136</v>
      </c>
    </row>
    <row r="28" spans="1:9" x14ac:dyDescent="0.35">
      <c r="A28" t="s">
        <v>52</v>
      </c>
      <c r="B28" s="2">
        <v>46201</v>
      </c>
      <c r="C28" t="s">
        <v>10</v>
      </c>
      <c r="D28" t="s">
        <v>11</v>
      </c>
      <c r="E28" t="s">
        <v>17</v>
      </c>
      <c r="F28">
        <v>23</v>
      </c>
      <c r="G28" t="s">
        <v>13</v>
      </c>
      <c r="H28" s="2">
        <v>46204</v>
      </c>
      <c r="I28" s="2">
        <v>46204</v>
      </c>
    </row>
    <row r="29" spans="1:9" x14ac:dyDescent="0.35">
      <c r="A29" t="s">
        <v>53</v>
      </c>
      <c r="B29" s="2">
        <v>46161</v>
      </c>
      <c r="C29" t="s">
        <v>34</v>
      </c>
      <c r="D29" t="s">
        <v>35</v>
      </c>
      <c r="E29" t="s">
        <v>32</v>
      </c>
      <c r="F29">
        <v>16</v>
      </c>
      <c r="G29" t="s">
        <v>13</v>
      </c>
      <c r="H29" s="2">
        <v>46165</v>
      </c>
      <c r="I29" s="2">
        <v>46165</v>
      </c>
    </row>
    <row r="30" spans="1:9" x14ac:dyDescent="0.35">
      <c r="A30" t="s">
        <v>54</v>
      </c>
      <c r="B30" s="2">
        <v>46203</v>
      </c>
      <c r="C30" t="s">
        <v>34</v>
      </c>
      <c r="D30" t="s">
        <v>35</v>
      </c>
      <c r="E30" t="s">
        <v>55</v>
      </c>
      <c r="F30">
        <v>29</v>
      </c>
      <c r="G30" t="s">
        <v>26</v>
      </c>
      <c r="H30" s="2">
        <v>46204</v>
      </c>
    </row>
    <row r="31" spans="1:9" x14ac:dyDescent="0.35">
      <c r="A31" t="s">
        <v>56</v>
      </c>
      <c r="B31" s="2">
        <v>46171</v>
      </c>
      <c r="C31" t="s">
        <v>10</v>
      </c>
      <c r="D31" t="s">
        <v>11</v>
      </c>
      <c r="E31" t="s">
        <v>12</v>
      </c>
      <c r="F31">
        <v>30</v>
      </c>
      <c r="G31" t="s">
        <v>26</v>
      </c>
      <c r="H31" s="2">
        <v>46173</v>
      </c>
    </row>
    <row r="32" spans="1:9" x14ac:dyDescent="0.35">
      <c r="A32" t="s">
        <v>57</v>
      </c>
      <c r="B32" s="2">
        <v>46154</v>
      </c>
      <c r="C32" t="s">
        <v>10</v>
      </c>
      <c r="D32" t="s">
        <v>11</v>
      </c>
      <c r="E32" t="s">
        <v>55</v>
      </c>
      <c r="F32">
        <v>17</v>
      </c>
      <c r="G32" t="s">
        <v>13</v>
      </c>
      <c r="H32" s="2">
        <v>46155</v>
      </c>
      <c r="I32" s="2">
        <v>46155</v>
      </c>
    </row>
    <row r="33" spans="1:9" x14ac:dyDescent="0.35">
      <c r="A33" t="s">
        <v>58</v>
      </c>
      <c r="B33" s="2">
        <v>46172</v>
      </c>
      <c r="C33" t="s">
        <v>15</v>
      </c>
      <c r="D33" t="s">
        <v>16</v>
      </c>
      <c r="E33" t="s">
        <v>22</v>
      </c>
      <c r="F33">
        <v>16</v>
      </c>
      <c r="G33" t="s">
        <v>13</v>
      </c>
      <c r="H33" s="2">
        <v>46174</v>
      </c>
      <c r="I33" s="2">
        <v>46173</v>
      </c>
    </row>
    <row r="34" spans="1:9" x14ac:dyDescent="0.35">
      <c r="A34" t="s">
        <v>59</v>
      </c>
      <c r="B34" s="2">
        <v>46192</v>
      </c>
      <c r="C34" t="s">
        <v>19</v>
      </c>
      <c r="D34" t="s">
        <v>20</v>
      </c>
      <c r="E34" t="s">
        <v>43</v>
      </c>
      <c r="F34">
        <v>30</v>
      </c>
      <c r="G34" t="s">
        <v>13</v>
      </c>
      <c r="H34" s="2">
        <v>46193</v>
      </c>
      <c r="I34" s="2">
        <v>46192</v>
      </c>
    </row>
    <row r="35" spans="1:9" x14ac:dyDescent="0.35">
      <c r="A35" t="s">
        <v>60</v>
      </c>
      <c r="B35" s="2">
        <v>46127</v>
      </c>
      <c r="C35" t="s">
        <v>34</v>
      </c>
      <c r="D35" t="s">
        <v>35</v>
      </c>
      <c r="E35" t="s">
        <v>43</v>
      </c>
      <c r="F35">
        <v>12</v>
      </c>
      <c r="G35" t="s">
        <v>26</v>
      </c>
      <c r="H35" s="2">
        <v>46129</v>
      </c>
    </row>
    <row r="36" spans="1:9" x14ac:dyDescent="0.35">
      <c r="A36" t="s">
        <v>61</v>
      </c>
      <c r="B36" s="2">
        <v>46174</v>
      </c>
      <c r="C36" t="s">
        <v>10</v>
      </c>
      <c r="D36" t="s">
        <v>11</v>
      </c>
      <c r="E36" t="s">
        <v>12</v>
      </c>
      <c r="F36">
        <v>3</v>
      </c>
      <c r="G36" t="s">
        <v>62</v>
      </c>
      <c r="H36" s="2">
        <v>46176</v>
      </c>
      <c r="I36" s="2">
        <v>46180</v>
      </c>
    </row>
    <row r="37" spans="1:9" x14ac:dyDescent="0.35">
      <c r="A37" t="s">
        <v>63</v>
      </c>
      <c r="B37" s="2">
        <v>46174</v>
      </c>
      <c r="C37" t="s">
        <v>10</v>
      </c>
      <c r="D37" t="s">
        <v>11</v>
      </c>
      <c r="E37" t="s">
        <v>32</v>
      </c>
      <c r="F37">
        <v>11</v>
      </c>
      <c r="G37" t="s">
        <v>13</v>
      </c>
      <c r="H37" s="2">
        <v>46176</v>
      </c>
      <c r="I37" s="2">
        <v>46175</v>
      </c>
    </row>
    <row r="38" spans="1:9" x14ac:dyDescent="0.35">
      <c r="A38" t="s">
        <v>64</v>
      </c>
      <c r="B38" s="2">
        <v>46159</v>
      </c>
      <c r="C38" t="s">
        <v>19</v>
      </c>
      <c r="D38" t="s">
        <v>20</v>
      </c>
      <c r="E38" t="s">
        <v>32</v>
      </c>
      <c r="F38">
        <v>14</v>
      </c>
      <c r="G38" t="s">
        <v>13</v>
      </c>
      <c r="H38" s="2">
        <v>46161</v>
      </c>
      <c r="I38" s="2">
        <v>46160</v>
      </c>
    </row>
    <row r="39" spans="1:9" x14ac:dyDescent="0.35">
      <c r="A39" t="s">
        <v>65</v>
      </c>
      <c r="B39" s="2">
        <v>46174</v>
      </c>
      <c r="C39" t="s">
        <v>10</v>
      </c>
      <c r="D39" t="s">
        <v>11</v>
      </c>
      <c r="E39" t="s">
        <v>43</v>
      </c>
      <c r="F39">
        <v>18</v>
      </c>
      <c r="G39" t="s">
        <v>26</v>
      </c>
      <c r="H39" s="2">
        <v>46176</v>
      </c>
    </row>
    <row r="40" spans="1:9" x14ac:dyDescent="0.35">
      <c r="A40" t="s">
        <v>66</v>
      </c>
      <c r="B40" s="2">
        <v>46163</v>
      </c>
      <c r="C40" t="s">
        <v>10</v>
      </c>
      <c r="D40" t="s">
        <v>11</v>
      </c>
      <c r="E40" t="s">
        <v>32</v>
      </c>
      <c r="F40">
        <v>21</v>
      </c>
      <c r="G40" t="s">
        <v>13</v>
      </c>
      <c r="H40" s="2">
        <v>46165</v>
      </c>
      <c r="I40" s="2">
        <v>46164</v>
      </c>
    </row>
    <row r="41" spans="1:9" x14ac:dyDescent="0.35">
      <c r="A41" t="s">
        <v>67</v>
      </c>
      <c r="B41" s="2">
        <v>46167</v>
      </c>
      <c r="C41" t="s">
        <v>19</v>
      </c>
      <c r="D41" t="s">
        <v>20</v>
      </c>
      <c r="E41" t="s">
        <v>43</v>
      </c>
      <c r="F41">
        <v>21</v>
      </c>
      <c r="G41" t="s">
        <v>13</v>
      </c>
      <c r="H41" s="2">
        <v>46169</v>
      </c>
      <c r="I41" s="2">
        <v>46169</v>
      </c>
    </row>
    <row r="42" spans="1:9" x14ac:dyDescent="0.35">
      <c r="A42" t="s">
        <v>68</v>
      </c>
      <c r="B42" s="2">
        <v>46176</v>
      </c>
      <c r="C42" t="s">
        <v>15</v>
      </c>
      <c r="D42" t="s">
        <v>16</v>
      </c>
      <c r="E42" t="s">
        <v>12</v>
      </c>
      <c r="F42">
        <v>5</v>
      </c>
      <c r="G42" t="s">
        <v>62</v>
      </c>
      <c r="H42" s="2">
        <v>46178</v>
      </c>
      <c r="I42" s="2">
        <v>46179</v>
      </c>
    </row>
    <row r="43" spans="1:9" x14ac:dyDescent="0.35">
      <c r="A43" t="s">
        <v>69</v>
      </c>
      <c r="B43" s="2">
        <v>46115</v>
      </c>
      <c r="C43" t="s">
        <v>15</v>
      </c>
      <c r="D43" t="s">
        <v>16</v>
      </c>
      <c r="E43" t="s">
        <v>46</v>
      </c>
      <c r="F43">
        <v>16</v>
      </c>
      <c r="G43" t="s">
        <v>13</v>
      </c>
      <c r="H43" s="2">
        <v>46117</v>
      </c>
      <c r="I43" s="2">
        <v>46116</v>
      </c>
    </row>
    <row r="44" spans="1:9" x14ac:dyDescent="0.35">
      <c r="A44" t="s">
        <v>70</v>
      </c>
      <c r="B44" s="2">
        <v>46163</v>
      </c>
      <c r="C44" t="s">
        <v>10</v>
      </c>
      <c r="D44" t="s">
        <v>11</v>
      </c>
      <c r="E44" t="s">
        <v>43</v>
      </c>
      <c r="F44">
        <v>20</v>
      </c>
      <c r="G44" t="s">
        <v>13</v>
      </c>
      <c r="H44" s="2">
        <v>46164</v>
      </c>
      <c r="I44" s="2">
        <v>46164</v>
      </c>
    </row>
    <row r="45" spans="1:9" x14ac:dyDescent="0.35">
      <c r="A45" t="s">
        <v>71</v>
      </c>
      <c r="B45" s="2">
        <v>46119</v>
      </c>
      <c r="C45" t="s">
        <v>34</v>
      </c>
      <c r="D45" t="s">
        <v>35</v>
      </c>
      <c r="E45" t="s">
        <v>55</v>
      </c>
      <c r="F45">
        <v>5</v>
      </c>
      <c r="G45" t="s">
        <v>13</v>
      </c>
      <c r="H45" s="2">
        <v>46122</v>
      </c>
      <c r="I45" s="2">
        <v>46121</v>
      </c>
    </row>
    <row r="46" spans="1:9" x14ac:dyDescent="0.35">
      <c r="A46" t="s">
        <v>72</v>
      </c>
      <c r="B46" s="2">
        <v>46133</v>
      </c>
      <c r="C46" t="s">
        <v>10</v>
      </c>
      <c r="D46" t="s">
        <v>11</v>
      </c>
      <c r="E46" t="s">
        <v>32</v>
      </c>
      <c r="F46">
        <v>3</v>
      </c>
      <c r="G46" t="s">
        <v>13</v>
      </c>
      <c r="H46" s="2">
        <v>46135</v>
      </c>
      <c r="I46" s="2">
        <v>46135</v>
      </c>
    </row>
    <row r="47" spans="1:9" x14ac:dyDescent="0.35">
      <c r="A47" t="s">
        <v>73</v>
      </c>
      <c r="B47" s="2">
        <v>46185</v>
      </c>
      <c r="C47" t="s">
        <v>15</v>
      </c>
      <c r="D47" t="s">
        <v>16</v>
      </c>
      <c r="E47" t="s">
        <v>43</v>
      </c>
      <c r="F47">
        <v>12</v>
      </c>
      <c r="G47" t="s">
        <v>26</v>
      </c>
      <c r="H47" s="2">
        <v>46188</v>
      </c>
    </row>
    <row r="48" spans="1:9" x14ac:dyDescent="0.35">
      <c r="A48" t="s">
        <v>74</v>
      </c>
      <c r="B48" s="2">
        <v>46151</v>
      </c>
      <c r="C48" t="s">
        <v>34</v>
      </c>
      <c r="D48" t="s">
        <v>35</v>
      </c>
      <c r="E48" t="s">
        <v>43</v>
      </c>
      <c r="F48">
        <v>1</v>
      </c>
      <c r="G48" t="s">
        <v>13</v>
      </c>
      <c r="H48" s="2">
        <v>46153</v>
      </c>
      <c r="I48" s="2">
        <v>46152</v>
      </c>
    </row>
    <row r="49" spans="1:9" x14ac:dyDescent="0.35">
      <c r="A49" t="s">
        <v>75</v>
      </c>
      <c r="B49" s="2">
        <v>46130</v>
      </c>
      <c r="C49" t="s">
        <v>34</v>
      </c>
      <c r="D49" t="s">
        <v>35</v>
      </c>
      <c r="E49" t="s">
        <v>12</v>
      </c>
      <c r="F49">
        <v>21</v>
      </c>
      <c r="G49" t="s">
        <v>62</v>
      </c>
      <c r="H49" s="2">
        <v>46132</v>
      </c>
      <c r="I49" s="2">
        <v>46133</v>
      </c>
    </row>
    <row r="50" spans="1:9" x14ac:dyDescent="0.35">
      <c r="A50" t="s">
        <v>76</v>
      </c>
      <c r="B50" s="2">
        <v>46116</v>
      </c>
      <c r="C50" t="s">
        <v>34</v>
      </c>
      <c r="D50" t="s">
        <v>35</v>
      </c>
      <c r="E50" t="s">
        <v>32</v>
      </c>
      <c r="F50">
        <v>29</v>
      </c>
      <c r="G50" t="s">
        <v>13</v>
      </c>
      <c r="H50" s="2">
        <v>46117</v>
      </c>
      <c r="I50" s="2">
        <v>46117</v>
      </c>
    </row>
    <row r="51" spans="1:9" x14ac:dyDescent="0.35">
      <c r="A51" t="s">
        <v>77</v>
      </c>
      <c r="B51" s="2">
        <v>46201</v>
      </c>
      <c r="C51" t="s">
        <v>10</v>
      </c>
      <c r="D51" t="s">
        <v>11</v>
      </c>
      <c r="E51" t="s">
        <v>46</v>
      </c>
      <c r="F51">
        <v>9</v>
      </c>
      <c r="G51" t="s">
        <v>13</v>
      </c>
      <c r="H51" s="2">
        <v>46205</v>
      </c>
      <c r="I51" s="2">
        <v>46204</v>
      </c>
    </row>
    <row r="52" spans="1:9" x14ac:dyDescent="0.35">
      <c r="A52" t="s">
        <v>78</v>
      </c>
      <c r="B52" s="2">
        <v>46172</v>
      </c>
      <c r="C52" t="s">
        <v>34</v>
      </c>
      <c r="D52" t="s">
        <v>35</v>
      </c>
      <c r="E52" t="s">
        <v>12</v>
      </c>
      <c r="F52">
        <v>29</v>
      </c>
      <c r="G52" t="s">
        <v>13</v>
      </c>
      <c r="H52" s="2">
        <v>46176</v>
      </c>
      <c r="I52" s="2">
        <v>46175</v>
      </c>
    </row>
    <row r="53" spans="1:9" x14ac:dyDescent="0.35">
      <c r="A53" t="s">
        <v>79</v>
      </c>
      <c r="B53" s="2">
        <v>46126</v>
      </c>
      <c r="C53" t="s">
        <v>34</v>
      </c>
      <c r="D53" t="s">
        <v>35</v>
      </c>
      <c r="E53" t="s">
        <v>46</v>
      </c>
      <c r="F53">
        <v>9</v>
      </c>
      <c r="G53" t="s">
        <v>13</v>
      </c>
      <c r="H53" s="2">
        <v>46127</v>
      </c>
      <c r="I53" s="2">
        <v>46127</v>
      </c>
    </row>
    <row r="54" spans="1:9" x14ac:dyDescent="0.35">
      <c r="A54" t="s">
        <v>80</v>
      </c>
      <c r="B54" s="2">
        <v>46121</v>
      </c>
      <c r="C54" t="s">
        <v>34</v>
      </c>
      <c r="D54" t="s">
        <v>35</v>
      </c>
      <c r="E54" t="s">
        <v>17</v>
      </c>
      <c r="F54">
        <v>4</v>
      </c>
      <c r="G54" t="s">
        <v>13</v>
      </c>
      <c r="H54" s="2">
        <v>46124</v>
      </c>
      <c r="I54" s="2">
        <v>46124</v>
      </c>
    </row>
    <row r="55" spans="1:9" x14ac:dyDescent="0.35">
      <c r="A55" t="s">
        <v>81</v>
      </c>
      <c r="B55" s="2">
        <v>46202</v>
      </c>
      <c r="C55" t="s">
        <v>34</v>
      </c>
      <c r="D55" t="s">
        <v>35</v>
      </c>
      <c r="E55" t="s">
        <v>12</v>
      </c>
      <c r="F55">
        <v>3</v>
      </c>
      <c r="G55" t="s">
        <v>13</v>
      </c>
      <c r="H55" s="2">
        <v>46206</v>
      </c>
      <c r="I55" s="2">
        <v>46205</v>
      </c>
    </row>
    <row r="56" spans="1:9" x14ac:dyDescent="0.35">
      <c r="A56" t="s">
        <v>82</v>
      </c>
      <c r="B56" s="2">
        <v>46165</v>
      </c>
      <c r="C56" t="s">
        <v>19</v>
      </c>
      <c r="D56" t="s">
        <v>20</v>
      </c>
      <c r="E56" t="s">
        <v>32</v>
      </c>
      <c r="F56">
        <v>17</v>
      </c>
      <c r="G56" t="s">
        <v>13</v>
      </c>
      <c r="H56" s="2">
        <v>46166</v>
      </c>
      <c r="I56" s="2">
        <v>46166</v>
      </c>
    </row>
    <row r="57" spans="1:9" x14ac:dyDescent="0.35">
      <c r="A57" t="s">
        <v>83</v>
      </c>
      <c r="B57" s="2">
        <v>46114</v>
      </c>
      <c r="C57" t="s">
        <v>15</v>
      </c>
      <c r="D57" t="s">
        <v>16</v>
      </c>
      <c r="E57" t="s">
        <v>24</v>
      </c>
      <c r="F57">
        <v>2</v>
      </c>
      <c r="G57" t="s">
        <v>13</v>
      </c>
      <c r="H57" s="2">
        <v>46115</v>
      </c>
      <c r="I57" s="2">
        <v>46114</v>
      </c>
    </row>
    <row r="58" spans="1:9" x14ac:dyDescent="0.35">
      <c r="A58" t="s">
        <v>84</v>
      </c>
      <c r="B58" s="2">
        <v>46196</v>
      </c>
      <c r="C58" t="s">
        <v>10</v>
      </c>
      <c r="D58" t="s">
        <v>11</v>
      </c>
      <c r="E58" t="s">
        <v>32</v>
      </c>
      <c r="F58">
        <v>24</v>
      </c>
      <c r="G58" t="s">
        <v>26</v>
      </c>
      <c r="H58" s="2">
        <v>46200</v>
      </c>
    </row>
    <row r="59" spans="1:9" x14ac:dyDescent="0.35">
      <c r="A59" t="s">
        <v>85</v>
      </c>
      <c r="B59" s="2">
        <v>46172</v>
      </c>
      <c r="C59" t="s">
        <v>10</v>
      </c>
      <c r="D59" t="s">
        <v>11</v>
      </c>
      <c r="E59" t="s">
        <v>32</v>
      </c>
      <c r="F59">
        <v>1</v>
      </c>
      <c r="G59" t="s">
        <v>13</v>
      </c>
      <c r="H59" s="2">
        <v>46175</v>
      </c>
      <c r="I59" s="2">
        <v>46174</v>
      </c>
    </row>
    <row r="60" spans="1:9" x14ac:dyDescent="0.35">
      <c r="A60" t="s">
        <v>86</v>
      </c>
      <c r="B60" s="2">
        <v>46183</v>
      </c>
      <c r="C60" t="s">
        <v>10</v>
      </c>
      <c r="D60" t="s">
        <v>11</v>
      </c>
      <c r="E60" t="s">
        <v>46</v>
      </c>
      <c r="F60">
        <v>8</v>
      </c>
      <c r="G60" t="s">
        <v>13</v>
      </c>
      <c r="H60" s="2">
        <v>46184</v>
      </c>
      <c r="I60" s="2">
        <v>46184</v>
      </c>
    </row>
    <row r="61" spans="1:9" x14ac:dyDescent="0.35">
      <c r="A61" t="s">
        <v>87</v>
      </c>
      <c r="B61" s="2">
        <v>46156</v>
      </c>
      <c r="C61" t="s">
        <v>10</v>
      </c>
      <c r="D61" t="s">
        <v>11</v>
      </c>
      <c r="E61" t="s">
        <v>46</v>
      </c>
      <c r="F61">
        <v>13</v>
      </c>
      <c r="G61" t="s">
        <v>13</v>
      </c>
      <c r="H61" s="2">
        <v>46158</v>
      </c>
      <c r="I61" s="2">
        <v>46157</v>
      </c>
    </row>
    <row r="62" spans="1:9" x14ac:dyDescent="0.35">
      <c r="A62" t="s">
        <v>88</v>
      </c>
      <c r="B62" s="2">
        <v>46120</v>
      </c>
      <c r="C62" t="s">
        <v>19</v>
      </c>
      <c r="D62" t="s">
        <v>20</v>
      </c>
      <c r="E62" t="s">
        <v>32</v>
      </c>
      <c r="F62">
        <v>23</v>
      </c>
      <c r="G62" t="s">
        <v>13</v>
      </c>
      <c r="H62" s="2">
        <v>46123</v>
      </c>
      <c r="I62" s="2">
        <v>46123</v>
      </c>
    </row>
    <row r="63" spans="1:9" x14ac:dyDescent="0.35">
      <c r="A63" t="s">
        <v>89</v>
      </c>
      <c r="B63" s="2">
        <v>46159</v>
      </c>
      <c r="C63" t="s">
        <v>19</v>
      </c>
      <c r="D63" t="s">
        <v>20</v>
      </c>
      <c r="E63" t="s">
        <v>32</v>
      </c>
      <c r="F63">
        <v>15</v>
      </c>
      <c r="G63" t="s">
        <v>13</v>
      </c>
      <c r="H63" s="2">
        <v>46162</v>
      </c>
      <c r="I63" s="2">
        <v>46162</v>
      </c>
    </row>
    <row r="64" spans="1:9" x14ac:dyDescent="0.35">
      <c r="A64" t="s">
        <v>90</v>
      </c>
      <c r="B64" s="2">
        <v>46147</v>
      </c>
      <c r="C64" t="s">
        <v>34</v>
      </c>
      <c r="D64" t="s">
        <v>35</v>
      </c>
      <c r="E64" t="s">
        <v>32</v>
      </c>
      <c r="F64">
        <v>8</v>
      </c>
      <c r="G64" t="s">
        <v>13</v>
      </c>
      <c r="H64" s="2">
        <v>46151</v>
      </c>
      <c r="I64" s="2">
        <v>46150</v>
      </c>
    </row>
    <row r="65" spans="1:9" x14ac:dyDescent="0.35">
      <c r="A65" t="s">
        <v>91</v>
      </c>
      <c r="B65" s="2">
        <v>46190</v>
      </c>
      <c r="C65" t="s">
        <v>15</v>
      </c>
      <c r="D65" t="s">
        <v>16</v>
      </c>
      <c r="E65" t="s">
        <v>46</v>
      </c>
      <c r="F65">
        <v>12</v>
      </c>
      <c r="G65" t="s">
        <v>13</v>
      </c>
      <c r="H65" s="2">
        <v>46194</v>
      </c>
      <c r="I65" s="2">
        <v>46194</v>
      </c>
    </row>
    <row r="66" spans="1:9" x14ac:dyDescent="0.35">
      <c r="A66" t="s">
        <v>92</v>
      </c>
      <c r="B66" s="2">
        <v>46193</v>
      </c>
      <c r="C66" t="s">
        <v>34</v>
      </c>
      <c r="D66" t="s">
        <v>35</v>
      </c>
      <c r="E66" t="s">
        <v>32</v>
      </c>
      <c r="F66">
        <v>22</v>
      </c>
      <c r="G66" t="s">
        <v>26</v>
      </c>
      <c r="H66" s="2">
        <v>46195</v>
      </c>
    </row>
    <row r="67" spans="1:9" x14ac:dyDescent="0.35">
      <c r="A67" t="s">
        <v>93</v>
      </c>
      <c r="B67" s="2">
        <v>46148</v>
      </c>
      <c r="C67" t="s">
        <v>15</v>
      </c>
      <c r="D67" t="s">
        <v>16</v>
      </c>
      <c r="E67" t="s">
        <v>32</v>
      </c>
      <c r="F67">
        <v>12</v>
      </c>
      <c r="G67" t="s">
        <v>26</v>
      </c>
      <c r="H67" s="2">
        <v>46149</v>
      </c>
    </row>
    <row r="68" spans="1:9" x14ac:dyDescent="0.35">
      <c r="A68" t="s">
        <v>94</v>
      </c>
      <c r="B68" s="2">
        <v>46162</v>
      </c>
      <c r="C68" t="s">
        <v>10</v>
      </c>
      <c r="D68" t="s">
        <v>11</v>
      </c>
      <c r="E68" t="s">
        <v>17</v>
      </c>
      <c r="F68">
        <v>14</v>
      </c>
      <c r="G68" t="s">
        <v>13</v>
      </c>
      <c r="H68" s="2">
        <v>46166</v>
      </c>
      <c r="I68" s="2">
        <v>46165</v>
      </c>
    </row>
    <row r="69" spans="1:9" x14ac:dyDescent="0.35">
      <c r="A69" t="s">
        <v>95</v>
      </c>
      <c r="B69" s="2">
        <v>46116</v>
      </c>
      <c r="C69" t="s">
        <v>19</v>
      </c>
      <c r="D69" t="s">
        <v>20</v>
      </c>
      <c r="E69" t="s">
        <v>22</v>
      </c>
      <c r="F69">
        <v>15</v>
      </c>
      <c r="G69" t="s">
        <v>13</v>
      </c>
      <c r="H69" s="2">
        <v>46120</v>
      </c>
      <c r="I69" s="2">
        <v>46119</v>
      </c>
    </row>
    <row r="70" spans="1:9" x14ac:dyDescent="0.35">
      <c r="A70" t="s">
        <v>96</v>
      </c>
      <c r="B70" s="2">
        <v>46114</v>
      </c>
      <c r="C70" t="s">
        <v>15</v>
      </c>
      <c r="D70" t="s">
        <v>16</v>
      </c>
      <c r="E70" t="s">
        <v>24</v>
      </c>
      <c r="F70">
        <v>15</v>
      </c>
      <c r="G70" t="s">
        <v>26</v>
      </c>
      <c r="H70" s="2">
        <v>46117</v>
      </c>
    </row>
    <row r="71" spans="1:9" x14ac:dyDescent="0.35">
      <c r="A71" t="s">
        <v>97</v>
      </c>
      <c r="B71" s="2">
        <v>46118</v>
      </c>
      <c r="C71" t="s">
        <v>15</v>
      </c>
      <c r="D71" t="s">
        <v>16</v>
      </c>
      <c r="E71" t="s">
        <v>55</v>
      </c>
      <c r="F71">
        <v>9</v>
      </c>
      <c r="G71" t="s">
        <v>13</v>
      </c>
      <c r="H71" s="2">
        <v>46122</v>
      </c>
      <c r="I71" s="2">
        <v>46121</v>
      </c>
    </row>
    <row r="72" spans="1:9" x14ac:dyDescent="0.35">
      <c r="A72" t="s">
        <v>98</v>
      </c>
      <c r="B72" s="2">
        <v>46166</v>
      </c>
      <c r="C72" t="s">
        <v>15</v>
      </c>
      <c r="D72" t="s">
        <v>16</v>
      </c>
      <c r="E72" t="s">
        <v>24</v>
      </c>
      <c r="F72">
        <v>19</v>
      </c>
      <c r="G72" t="s">
        <v>26</v>
      </c>
      <c r="H72" s="2">
        <v>46170</v>
      </c>
    </row>
    <row r="73" spans="1:9" x14ac:dyDescent="0.35">
      <c r="A73" t="s">
        <v>99</v>
      </c>
      <c r="B73" s="2">
        <v>46116</v>
      </c>
      <c r="C73" t="s">
        <v>10</v>
      </c>
      <c r="D73" t="s">
        <v>11</v>
      </c>
      <c r="E73" t="s">
        <v>22</v>
      </c>
      <c r="F73">
        <v>26</v>
      </c>
      <c r="G73" t="s">
        <v>26</v>
      </c>
      <c r="H73" s="2">
        <v>46120</v>
      </c>
    </row>
    <row r="74" spans="1:9" x14ac:dyDescent="0.35">
      <c r="A74" t="s">
        <v>100</v>
      </c>
      <c r="B74" s="2">
        <v>46166</v>
      </c>
      <c r="C74" t="s">
        <v>10</v>
      </c>
      <c r="D74" t="s">
        <v>11</v>
      </c>
      <c r="E74" t="s">
        <v>55</v>
      </c>
      <c r="F74">
        <v>20</v>
      </c>
      <c r="G74" t="s">
        <v>26</v>
      </c>
      <c r="H74" s="2">
        <v>46170</v>
      </c>
    </row>
    <row r="75" spans="1:9" x14ac:dyDescent="0.35">
      <c r="A75" t="s">
        <v>101</v>
      </c>
      <c r="B75" s="2">
        <v>46175</v>
      </c>
      <c r="C75" t="s">
        <v>15</v>
      </c>
      <c r="D75" t="s">
        <v>16</v>
      </c>
      <c r="E75" t="s">
        <v>12</v>
      </c>
      <c r="F75">
        <v>29</v>
      </c>
      <c r="G75" t="s">
        <v>13</v>
      </c>
      <c r="H75" s="2">
        <v>46178</v>
      </c>
      <c r="I75" s="2">
        <v>46178</v>
      </c>
    </row>
    <row r="76" spans="1:9" x14ac:dyDescent="0.35">
      <c r="A76" t="s">
        <v>102</v>
      </c>
      <c r="B76" s="2">
        <v>46130</v>
      </c>
      <c r="C76" t="s">
        <v>19</v>
      </c>
      <c r="D76" t="s">
        <v>20</v>
      </c>
      <c r="E76" t="s">
        <v>32</v>
      </c>
      <c r="F76">
        <v>22</v>
      </c>
      <c r="G76" t="s">
        <v>13</v>
      </c>
      <c r="H76" s="2">
        <v>46132</v>
      </c>
      <c r="I76" s="2">
        <v>46131</v>
      </c>
    </row>
    <row r="77" spans="1:9" x14ac:dyDescent="0.35">
      <c r="A77" t="s">
        <v>103</v>
      </c>
      <c r="B77" s="2">
        <v>46202</v>
      </c>
      <c r="C77" t="s">
        <v>19</v>
      </c>
      <c r="D77" t="s">
        <v>20</v>
      </c>
      <c r="E77" t="s">
        <v>22</v>
      </c>
      <c r="F77">
        <v>8</v>
      </c>
      <c r="G77" t="s">
        <v>13</v>
      </c>
      <c r="H77" s="2">
        <v>46204</v>
      </c>
      <c r="I77" s="2">
        <v>46204</v>
      </c>
    </row>
    <row r="78" spans="1:9" x14ac:dyDescent="0.35">
      <c r="A78" t="s">
        <v>104</v>
      </c>
      <c r="B78" s="2">
        <v>46156</v>
      </c>
      <c r="C78" t="s">
        <v>15</v>
      </c>
      <c r="D78" t="s">
        <v>16</v>
      </c>
      <c r="E78" t="s">
        <v>17</v>
      </c>
      <c r="F78">
        <v>21</v>
      </c>
      <c r="G78" t="s">
        <v>13</v>
      </c>
      <c r="H78" s="2">
        <v>46157</v>
      </c>
      <c r="I78" s="2">
        <v>46156</v>
      </c>
    </row>
    <row r="79" spans="1:9" x14ac:dyDescent="0.35">
      <c r="A79" t="s">
        <v>105</v>
      </c>
      <c r="B79" s="2">
        <v>46146</v>
      </c>
      <c r="C79" t="s">
        <v>10</v>
      </c>
      <c r="D79" t="s">
        <v>11</v>
      </c>
      <c r="E79" t="s">
        <v>12</v>
      </c>
      <c r="F79">
        <v>19</v>
      </c>
      <c r="G79" t="s">
        <v>26</v>
      </c>
      <c r="H79" s="2">
        <v>46150</v>
      </c>
    </row>
    <row r="80" spans="1:9" x14ac:dyDescent="0.35">
      <c r="A80" t="s">
        <v>106</v>
      </c>
      <c r="B80" s="2">
        <v>46186</v>
      </c>
      <c r="C80" t="s">
        <v>19</v>
      </c>
      <c r="D80" t="s">
        <v>20</v>
      </c>
      <c r="E80" t="s">
        <v>32</v>
      </c>
      <c r="F80">
        <v>6</v>
      </c>
      <c r="G80" t="s">
        <v>13</v>
      </c>
      <c r="H80" s="2">
        <v>46189</v>
      </c>
      <c r="I80" s="2">
        <v>46188</v>
      </c>
    </row>
    <row r="81" spans="1:9" x14ac:dyDescent="0.35">
      <c r="A81" t="s">
        <v>107</v>
      </c>
      <c r="B81" s="2">
        <v>46174</v>
      </c>
      <c r="C81" t="s">
        <v>34</v>
      </c>
      <c r="D81" t="s">
        <v>35</v>
      </c>
      <c r="E81" t="s">
        <v>46</v>
      </c>
      <c r="F81">
        <v>20</v>
      </c>
      <c r="G81" t="s">
        <v>13</v>
      </c>
      <c r="H81" s="2">
        <v>46175</v>
      </c>
      <c r="I81" s="2">
        <v>46174</v>
      </c>
    </row>
    <row r="82" spans="1:9" x14ac:dyDescent="0.35">
      <c r="A82" t="s">
        <v>108</v>
      </c>
      <c r="B82" s="2">
        <v>46126</v>
      </c>
      <c r="C82" t="s">
        <v>15</v>
      </c>
      <c r="D82" t="s">
        <v>16</v>
      </c>
      <c r="E82" t="s">
        <v>43</v>
      </c>
      <c r="F82">
        <v>25</v>
      </c>
      <c r="G82" t="s">
        <v>26</v>
      </c>
      <c r="H82" s="2">
        <v>46127</v>
      </c>
    </row>
    <row r="83" spans="1:9" x14ac:dyDescent="0.35">
      <c r="A83" t="s">
        <v>109</v>
      </c>
      <c r="B83" s="2">
        <v>46160</v>
      </c>
      <c r="C83" t="s">
        <v>15</v>
      </c>
      <c r="D83" t="s">
        <v>16</v>
      </c>
      <c r="E83" t="s">
        <v>22</v>
      </c>
      <c r="F83">
        <v>29</v>
      </c>
      <c r="G83" t="s">
        <v>26</v>
      </c>
      <c r="H83" s="2">
        <v>46162</v>
      </c>
    </row>
    <row r="84" spans="1:9" x14ac:dyDescent="0.35">
      <c r="A84" t="s">
        <v>110</v>
      </c>
      <c r="B84" s="2">
        <v>46127</v>
      </c>
      <c r="C84" t="s">
        <v>15</v>
      </c>
      <c r="D84" t="s">
        <v>16</v>
      </c>
      <c r="E84" t="s">
        <v>46</v>
      </c>
      <c r="F84">
        <v>19</v>
      </c>
      <c r="G84" t="s">
        <v>62</v>
      </c>
      <c r="H84" s="2">
        <v>46130</v>
      </c>
      <c r="I84" s="2">
        <v>46131</v>
      </c>
    </row>
    <row r="85" spans="1:9" x14ac:dyDescent="0.35">
      <c r="A85" t="s">
        <v>111</v>
      </c>
      <c r="B85" s="2">
        <v>46184</v>
      </c>
      <c r="C85" t="s">
        <v>19</v>
      </c>
      <c r="D85" t="s">
        <v>20</v>
      </c>
      <c r="E85" t="s">
        <v>22</v>
      </c>
      <c r="F85">
        <v>4</v>
      </c>
      <c r="G85" t="s">
        <v>26</v>
      </c>
      <c r="H85" s="2">
        <v>46187</v>
      </c>
    </row>
    <row r="86" spans="1:9" x14ac:dyDescent="0.35">
      <c r="A86" t="s">
        <v>112</v>
      </c>
      <c r="B86" s="2">
        <v>46190</v>
      </c>
      <c r="C86" t="s">
        <v>19</v>
      </c>
      <c r="D86" t="s">
        <v>20</v>
      </c>
      <c r="E86" t="s">
        <v>17</v>
      </c>
      <c r="F86">
        <v>23</v>
      </c>
      <c r="G86" t="s">
        <v>13</v>
      </c>
      <c r="H86" s="2">
        <v>46193</v>
      </c>
      <c r="I86" s="2">
        <v>46193</v>
      </c>
    </row>
    <row r="87" spans="1:9" x14ac:dyDescent="0.35">
      <c r="A87" t="s">
        <v>113</v>
      </c>
      <c r="B87" s="2">
        <v>46199</v>
      </c>
      <c r="C87" t="s">
        <v>15</v>
      </c>
      <c r="D87" t="s">
        <v>16</v>
      </c>
      <c r="E87" t="s">
        <v>22</v>
      </c>
      <c r="F87">
        <v>7</v>
      </c>
      <c r="G87" t="s">
        <v>13</v>
      </c>
      <c r="H87" s="2">
        <v>46201</v>
      </c>
      <c r="I87" s="2">
        <v>46200</v>
      </c>
    </row>
    <row r="88" spans="1:9" x14ac:dyDescent="0.35">
      <c r="A88" t="s">
        <v>114</v>
      </c>
      <c r="B88" s="2">
        <v>46174</v>
      </c>
      <c r="C88" t="s">
        <v>15</v>
      </c>
      <c r="D88" t="s">
        <v>16</v>
      </c>
      <c r="E88" t="s">
        <v>46</v>
      </c>
      <c r="F88">
        <v>28</v>
      </c>
      <c r="G88" t="s">
        <v>26</v>
      </c>
      <c r="H88" s="2">
        <v>46176</v>
      </c>
    </row>
    <row r="89" spans="1:9" x14ac:dyDescent="0.35">
      <c r="A89" t="s">
        <v>115</v>
      </c>
      <c r="B89" s="2">
        <v>46152</v>
      </c>
      <c r="C89" t="s">
        <v>15</v>
      </c>
      <c r="D89" t="s">
        <v>16</v>
      </c>
      <c r="E89" t="s">
        <v>17</v>
      </c>
      <c r="F89">
        <v>28</v>
      </c>
      <c r="G89" t="s">
        <v>13</v>
      </c>
      <c r="H89" s="2">
        <v>46154</v>
      </c>
      <c r="I89" s="2">
        <v>46153</v>
      </c>
    </row>
    <row r="90" spans="1:9" x14ac:dyDescent="0.35">
      <c r="A90" t="s">
        <v>116</v>
      </c>
      <c r="B90" s="2">
        <v>46197</v>
      </c>
      <c r="C90" t="s">
        <v>15</v>
      </c>
      <c r="D90" t="s">
        <v>16</v>
      </c>
      <c r="E90" t="s">
        <v>55</v>
      </c>
      <c r="F90">
        <v>4</v>
      </c>
      <c r="G90" t="s">
        <v>13</v>
      </c>
      <c r="H90" s="2">
        <v>46199</v>
      </c>
      <c r="I90" s="2">
        <v>46199</v>
      </c>
    </row>
    <row r="91" spans="1:9" x14ac:dyDescent="0.35">
      <c r="A91" t="s">
        <v>117</v>
      </c>
      <c r="B91" s="2">
        <v>46192</v>
      </c>
      <c r="C91" t="s">
        <v>19</v>
      </c>
      <c r="D91" t="s">
        <v>20</v>
      </c>
      <c r="E91" t="s">
        <v>24</v>
      </c>
      <c r="F91">
        <v>22</v>
      </c>
      <c r="G91" t="s">
        <v>13</v>
      </c>
      <c r="H91" s="2">
        <v>46194</v>
      </c>
      <c r="I91" s="2">
        <v>46194</v>
      </c>
    </row>
    <row r="92" spans="1:9" x14ac:dyDescent="0.35">
      <c r="A92" t="s">
        <v>118</v>
      </c>
      <c r="B92" s="2">
        <v>46194</v>
      </c>
      <c r="C92" t="s">
        <v>34</v>
      </c>
      <c r="D92" t="s">
        <v>35</v>
      </c>
      <c r="E92" t="s">
        <v>32</v>
      </c>
      <c r="F92">
        <v>12</v>
      </c>
      <c r="G92" t="s">
        <v>13</v>
      </c>
      <c r="H92" s="2">
        <v>46198</v>
      </c>
      <c r="I92" s="2">
        <v>46198</v>
      </c>
    </row>
    <row r="93" spans="1:9" x14ac:dyDescent="0.35">
      <c r="A93" t="s">
        <v>119</v>
      </c>
      <c r="B93" s="2">
        <v>46165</v>
      </c>
      <c r="C93" t="s">
        <v>34</v>
      </c>
      <c r="D93" t="s">
        <v>35</v>
      </c>
      <c r="E93" t="s">
        <v>22</v>
      </c>
      <c r="F93">
        <v>13</v>
      </c>
      <c r="G93" t="s">
        <v>13</v>
      </c>
      <c r="H93" s="2">
        <v>46169</v>
      </c>
      <c r="I93" s="2">
        <v>46168</v>
      </c>
    </row>
    <row r="94" spans="1:9" x14ac:dyDescent="0.35">
      <c r="A94" t="s">
        <v>120</v>
      </c>
      <c r="B94" s="2">
        <v>46136</v>
      </c>
      <c r="C94" t="s">
        <v>15</v>
      </c>
      <c r="D94" t="s">
        <v>16</v>
      </c>
      <c r="E94" t="s">
        <v>32</v>
      </c>
      <c r="F94">
        <v>3</v>
      </c>
      <c r="G94" t="s">
        <v>13</v>
      </c>
      <c r="H94" s="2">
        <v>46139</v>
      </c>
      <c r="I94" s="2">
        <v>46139</v>
      </c>
    </row>
    <row r="95" spans="1:9" x14ac:dyDescent="0.35">
      <c r="A95" t="s">
        <v>121</v>
      </c>
      <c r="B95" s="2">
        <v>46138</v>
      </c>
      <c r="C95" t="s">
        <v>10</v>
      </c>
      <c r="D95" t="s">
        <v>11</v>
      </c>
      <c r="E95" t="s">
        <v>43</v>
      </c>
      <c r="F95">
        <v>22</v>
      </c>
      <c r="G95" t="s">
        <v>13</v>
      </c>
      <c r="H95" s="2">
        <v>46139</v>
      </c>
      <c r="I95" s="2">
        <v>46138</v>
      </c>
    </row>
    <row r="96" spans="1:9" x14ac:dyDescent="0.35">
      <c r="A96" t="s">
        <v>122</v>
      </c>
      <c r="B96" s="2">
        <v>46201</v>
      </c>
      <c r="C96" t="s">
        <v>34</v>
      </c>
      <c r="D96" t="s">
        <v>35</v>
      </c>
      <c r="E96" t="s">
        <v>46</v>
      </c>
      <c r="F96">
        <v>12</v>
      </c>
      <c r="G96" t="s">
        <v>13</v>
      </c>
      <c r="H96" s="2">
        <v>46204</v>
      </c>
      <c r="I96" s="2">
        <v>46204</v>
      </c>
    </row>
    <row r="97" spans="1:9" x14ac:dyDescent="0.35">
      <c r="A97" t="s">
        <v>123</v>
      </c>
      <c r="B97" s="2">
        <v>46172</v>
      </c>
      <c r="C97" t="s">
        <v>10</v>
      </c>
      <c r="D97" t="s">
        <v>11</v>
      </c>
      <c r="E97" t="s">
        <v>32</v>
      </c>
      <c r="F97">
        <v>2</v>
      </c>
      <c r="G97" t="s">
        <v>13</v>
      </c>
      <c r="H97" s="2">
        <v>46173</v>
      </c>
      <c r="I97" s="2">
        <v>46172</v>
      </c>
    </row>
    <row r="98" spans="1:9" x14ac:dyDescent="0.35">
      <c r="A98" t="s">
        <v>124</v>
      </c>
      <c r="B98" s="2">
        <v>46153</v>
      </c>
      <c r="C98" t="s">
        <v>15</v>
      </c>
      <c r="D98" t="s">
        <v>16</v>
      </c>
      <c r="E98" t="s">
        <v>46</v>
      </c>
      <c r="F98">
        <v>24</v>
      </c>
      <c r="G98" t="s">
        <v>13</v>
      </c>
      <c r="H98" s="2">
        <v>46155</v>
      </c>
      <c r="I98" s="2">
        <v>46154</v>
      </c>
    </row>
    <row r="99" spans="1:9" x14ac:dyDescent="0.35">
      <c r="A99" t="s">
        <v>125</v>
      </c>
      <c r="B99" s="2">
        <v>46141</v>
      </c>
      <c r="C99" t="s">
        <v>19</v>
      </c>
      <c r="D99" t="s">
        <v>20</v>
      </c>
      <c r="E99" t="s">
        <v>32</v>
      </c>
      <c r="F99">
        <v>2</v>
      </c>
      <c r="G99" t="s">
        <v>13</v>
      </c>
      <c r="H99" s="2">
        <v>46142</v>
      </c>
      <c r="I99" s="2">
        <v>46141</v>
      </c>
    </row>
    <row r="100" spans="1:9" x14ac:dyDescent="0.35">
      <c r="A100" t="s">
        <v>126</v>
      </c>
      <c r="B100" s="2">
        <v>46127</v>
      </c>
      <c r="C100" t="s">
        <v>10</v>
      </c>
      <c r="D100" t="s">
        <v>11</v>
      </c>
      <c r="E100" t="s">
        <v>24</v>
      </c>
      <c r="F100">
        <v>27</v>
      </c>
      <c r="G100" t="s">
        <v>62</v>
      </c>
      <c r="H100" s="2">
        <v>46130</v>
      </c>
      <c r="I100" s="2">
        <v>46133</v>
      </c>
    </row>
    <row r="101" spans="1:9" x14ac:dyDescent="0.35">
      <c r="A101" t="s">
        <v>127</v>
      </c>
      <c r="B101" s="2">
        <v>46157</v>
      </c>
      <c r="C101" t="s">
        <v>15</v>
      </c>
      <c r="D101" t="s">
        <v>16</v>
      </c>
      <c r="E101" t="s">
        <v>24</v>
      </c>
      <c r="F101">
        <v>23</v>
      </c>
      <c r="G101" t="s">
        <v>13</v>
      </c>
      <c r="H101" s="2">
        <v>46160</v>
      </c>
      <c r="I101" s="2">
        <v>46160</v>
      </c>
    </row>
    <row r="102" spans="1:9" x14ac:dyDescent="0.35">
      <c r="A102" t="s">
        <v>128</v>
      </c>
      <c r="B102" s="2">
        <v>46177</v>
      </c>
      <c r="C102" t="s">
        <v>34</v>
      </c>
      <c r="D102" t="s">
        <v>35</v>
      </c>
      <c r="E102" t="s">
        <v>17</v>
      </c>
      <c r="F102">
        <v>9</v>
      </c>
      <c r="G102" t="s">
        <v>13</v>
      </c>
      <c r="H102" s="2">
        <v>46178</v>
      </c>
      <c r="I102" s="2">
        <v>46178</v>
      </c>
    </row>
    <row r="103" spans="1:9" x14ac:dyDescent="0.35">
      <c r="A103" t="s">
        <v>129</v>
      </c>
      <c r="B103" s="2">
        <v>46201</v>
      </c>
      <c r="C103" t="s">
        <v>19</v>
      </c>
      <c r="D103" t="s">
        <v>20</v>
      </c>
      <c r="E103" t="s">
        <v>24</v>
      </c>
      <c r="F103">
        <v>1</v>
      </c>
      <c r="G103" t="s">
        <v>13</v>
      </c>
      <c r="H103" s="2">
        <v>46205</v>
      </c>
      <c r="I103" s="2">
        <v>46204</v>
      </c>
    </row>
    <row r="104" spans="1:9" x14ac:dyDescent="0.35">
      <c r="A104" t="s">
        <v>130</v>
      </c>
      <c r="B104" s="2">
        <v>46183</v>
      </c>
      <c r="C104" t="s">
        <v>19</v>
      </c>
      <c r="D104" t="s">
        <v>20</v>
      </c>
      <c r="E104" t="s">
        <v>17</v>
      </c>
      <c r="F104">
        <v>8</v>
      </c>
      <c r="G104" t="s">
        <v>13</v>
      </c>
      <c r="H104" s="2">
        <v>46185</v>
      </c>
      <c r="I104" s="2">
        <v>46184</v>
      </c>
    </row>
    <row r="105" spans="1:9" x14ac:dyDescent="0.35">
      <c r="A105" t="s">
        <v>131</v>
      </c>
      <c r="B105" s="2">
        <v>46121</v>
      </c>
      <c r="C105" t="s">
        <v>34</v>
      </c>
      <c r="D105" t="s">
        <v>35</v>
      </c>
      <c r="E105" t="s">
        <v>24</v>
      </c>
      <c r="F105">
        <v>23</v>
      </c>
      <c r="G105" t="s">
        <v>13</v>
      </c>
      <c r="H105" s="2">
        <v>46123</v>
      </c>
      <c r="I105" s="2">
        <v>46123</v>
      </c>
    </row>
    <row r="106" spans="1:9" x14ac:dyDescent="0.35">
      <c r="A106" t="s">
        <v>132</v>
      </c>
      <c r="B106" s="2">
        <v>46200</v>
      </c>
      <c r="C106" t="s">
        <v>34</v>
      </c>
      <c r="D106" t="s">
        <v>35</v>
      </c>
      <c r="E106" t="s">
        <v>24</v>
      </c>
      <c r="F106">
        <v>6</v>
      </c>
      <c r="G106" t="s">
        <v>26</v>
      </c>
      <c r="H106" s="2">
        <v>46203</v>
      </c>
    </row>
    <row r="107" spans="1:9" x14ac:dyDescent="0.35">
      <c r="A107" t="s">
        <v>133</v>
      </c>
      <c r="B107" s="2">
        <v>46113</v>
      </c>
      <c r="C107" t="s">
        <v>19</v>
      </c>
      <c r="D107" t="s">
        <v>20</v>
      </c>
      <c r="E107" t="s">
        <v>24</v>
      </c>
      <c r="F107">
        <v>6</v>
      </c>
      <c r="G107" t="s">
        <v>13</v>
      </c>
      <c r="H107" s="2">
        <v>46117</v>
      </c>
      <c r="I107" s="2">
        <v>46116</v>
      </c>
    </row>
    <row r="108" spans="1:9" x14ac:dyDescent="0.35">
      <c r="A108" t="s">
        <v>134</v>
      </c>
      <c r="B108" s="2">
        <v>46120</v>
      </c>
      <c r="C108" t="s">
        <v>10</v>
      </c>
      <c r="D108" t="s">
        <v>11</v>
      </c>
      <c r="E108" t="s">
        <v>46</v>
      </c>
      <c r="F108">
        <v>22</v>
      </c>
      <c r="G108" t="s">
        <v>26</v>
      </c>
      <c r="H108" s="2">
        <v>46121</v>
      </c>
    </row>
    <row r="109" spans="1:9" x14ac:dyDescent="0.35">
      <c r="A109" t="s">
        <v>135</v>
      </c>
      <c r="B109" s="2">
        <v>46200</v>
      </c>
      <c r="C109" t="s">
        <v>15</v>
      </c>
      <c r="D109" t="s">
        <v>16</v>
      </c>
      <c r="E109" t="s">
        <v>22</v>
      </c>
      <c r="F109">
        <v>25</v>
      </c>
      <c r="G109" t="s">
        <v>13</v>
      </c>
      <c r="H109" s="2">
        <v>46202</v>
      </c>
      <c r="I109" s="2">
        <v>46201</v>
      </c>
    </row>
    <row r="110" spans="1:9" x14ac:dyDescent="0.35">
      <c r="A110" t="s">
        <v>136</v>
      </c>
      <c r="B110" s="2">
        <v>46175</v>
      </c>
      <c r="C110" t="s">
        <v>19</v>
      </c>
      <c r="D110" t="s">
        <v>20</v>
      </c>
      <c r="E110" t="s">
        <v>17</v>
      </c>
      <c r="F110">
        <v>18</v>
      </c>
      <c r="G110" t="s">
        <v>13</v>
      </c>
      <c r="H110" s="2">
        <v>46179</v>
      </c>
      <c r="I110" s="2">
        <v>46178</v>
      </c>
    </row>
    <row r="111" spans="1:9" x14ac:dyDescent="0.35">
      <c r="A111" t="s">
        <v>137</v>
      </c>
      <c r="B111" s="2">
        <v>46123</v>
      </c>
      <c r="C111" t="s">
        <v>15</v>
      </c>
      <c r="D111" t="s">
        <v>16</v>
      </c>
      <c r="E111" t="s">
        <v>32</v>
      </c>
      <c r="F111">
        <v>17</v>
      </c>
      <c r="G111" t="s">
        <v>13</v>
      </c>
      <c r="H111" s="2">
        <v>46125</v>
      </c>
      <c r="I111" s="2">
        <v>46125</v>
      </c>
    </row>
    <row r="112" spans="1:9" x14ac:dyDescent="0.35">
      <c r="A112" t="s">
        <v>138</v>
      </c>
      <c r="B112" s="2">
        <v>46193</v>
      </c>
      <c r="C112" t="s">
        <v>10</v>
      </c>
      <c r="D112" t="s">
        <v>11</v>
      </c>
      <c r="E112" t="s">
        <v>24</v>
      </c>
      <c r="F112">
        <v>29</v>
      </c>
      <c r="G112" t="s">
        <v>62</v>
      </c>
      <c r="H112" s="2">
        <v>46197</v>
      </c>
      <c r="I112" s="2">
        <v>46201</v>
      </c>
    </row>
    <row r="113" spans="1:9" x14ac:dyDescent="0.35">
      <c r="A113" t="s">
        <v>139</v>
      </c>
      <c r="B113" s="2">
        <v>46120</v>
      </c>
      <c r="C113" t="s">
        <v>15</v>
      </c>
      <c r="D113" t="s">
        <v>16</v>
      </c>
      <c r="E113" t="s">
        <v>46</v>
      </c>
      <c r="F113">
        <v>12</v>
      </c>
      <c r="G113" t="s">
        <v>13</v>
      </c>
      <c r="H113" s="2">
        <v>46124</v>
      </c>
      <c r="I113" s="2">
        <v>46124</v>
      </c>
    </row>
    <row r="114" spans="1:9" x14ac:dyDescent="0.35">
      <c r="A114" t="s">
        <v>140</v>
      </c>
      <c r="B114" s="2">
        <v>46147</v>
      </c>
      <c r="C114" t="s">
        <v>15</v>
      </c>
      <c r="D114" t="s">
        <v>16</v>
      </c>
      <c r="E114" t="s">
        <v>46</v>
      </c>
      <c r="F114">
        <v>6</v>
      </c>
      <c r="G114" t="s">
        <v>13</v>
      </c>
      <c r="H114" s="2">
        <v>46150</v>
      </c>
      <c r="I114" s="2">
        <v>46150</v>
      </c>
    </row>
    <row r="115" spans="1:9" x14ac:dyDescent="0.35">
      <c r="A115" t="s">
        <v>141</v>
      </c>
      <c r="B115" s="2">
        <v>46147</v>
      </c>
      <c r="C115" t="s">
        <v>34</v>
      </c>
      <c r="D115" t="s">
        <v>35</v>
      </c>
      <c r="E115" t="s">
        <v>46</v>
      </c>
      <c r="F115">
        <v>26</v>
      </c>
      <c r="G115" t="s">
        <v>13</v>
      </c>
      <c r="H115" s="2">
        <v>46149</v>
      </c>
      <c r="I115" s="2">
        <v>46149</v>
      </c>
    </row>
    <row r="116" spans="1:9" x14ac:dyDescent="0.35">
      <c r="A116" t="s">
        <v>142</v>
      </c>
      <c r="B116" s="2">
        <v>46145</v>
      </c>
      <c r="C116" t="s">
        <v>19</v>
      </c>
      <c r="D116" t="s">
        <v>20</v>
      </c>
      <c r="E116" t="s">
        <v>17</v>
      </c>
      <c r="F116">
        <v>27</v>
      </c>
      <c r="G116" t="s">
        <v>13</v>
      </c>
      <c r="H116" s="2">
        <v>46146</v>
      </c>
      <c r="I116" s="2">
        <v>46146</v>
      </c>
    </row>
    <row r="117" spans="1:9" x14ac:dyDescent="0.35">
      <c r="A117" t="s">
        <v>143</v>
      </c>
      <c r="B117" s="2">
        <v>46117</v>
      </c>
      <c r="C117" t="s">
        <v>15</v>
      </c>
      <c r="D117" t="s">
        <v>16</v>
      </c>
      <c r="E117" t="s">
        <v>22</v>
      </c>
      <c r="F117">
        <v>8</v>
      </c>
      <c r="G117" t="s">
        <v>13</v>
      </c>
      <c r="H117" s="2">
        <v>46120</v>
      </c>
      <c r="I117" s="2">
        <v>46120</v>
      </c>
    </row>
    <row r="118" spans="1:9" x14ac:dyDescent="0.35">
      <c r="A118" t="s">
        <v>144</v>
      </c>
      <c r="B118" s="2">
        <v>46153</v>
      </c>
      <c r="C118" t="s">
        <v>15</v>
      </c>
      <c r="D118" t="s">
        <v>16</v>
      </c>
      <c r="E118" t="s">
        <v>17</v>
      </c>
      <c r="F118">
        <v>19</v>
      </c>
      <c r="G118" t="s">
        <v>13</v>
      </c>
      <c r="H118" s="2">
        <v>46156</v>
      </c>
      <c r="I118" s="2">
        <v>46155</v>
      </c>
    </row>
    <row r="119" spans="1:9" x14ac:dyDescent="0.35">
      <c r="A119" t="s">
        <v>145</v>
      </c>
      <c r="B119" s="2">
        <v>46140</v>
      </c>
      <c r="C119" t="s">
        <v>15</v>
      </c>
      <c r="D119" t="s">
        <v>16</v>
      </c>
      <c r="E119" t="s">
        <v>32</v>
      </c>
      <c r="F119">
        <v>28</v>
      </c>
      <c r="G119" t="s">
        <v>13</v>
      </c>
      <c r="H119" s="2">
        <v>46141</v>
      </c>
      <c r="I119" s="2">
        <v>46141</v>
      </c>
    </row>
    <row r="120" spans="1:9" x14ac:dyDescent="0.35">
      <c r="A120" t="s">
        <v>146</v>
      </c>
      <c r="B120" s="2">
        <v>46119</v>
      </c>
      <c r="C120" t="s">
        <v>34</v>
      </c>
      <c r="D120" t="s">
        <v>35</v>
      </c>
      <c r="E120" t="s">
        <v>22</v>
      </c>
      <c r="F120">
        <v>10</v>
      </c>
      <c r="G120" t="s">
        <v>13</v>
      </c>
      <c r="H120" s="2">
        <v>46122</v>
      </c>
      <c r="I120" s="2">
        <v>46122</v>
      </c>
    </row>
    <row r="121" spans="1:9" x14ac:dyDescent="0.35">
      <c r="A121" t="s">
        <v>147</v>
      </c>
      <c r="B121" s="2">
        <v>46185</v>
      </c>
      <c r="C121" t="s">
        <v>19</v>
      </c>
      <c r="D121" t="s">
        <v>20</v>
      </c>
      <c r="E121" t="s">
        <v>55</v>
      </c>
      <c r="F121">
        <v>1</v>
      </c>
      <c r="G121" t="s">
        <v>13</v>
      </c>
      <c r="H121" s="2">
        <v>46189</v>
      </c>
      <c r="I121" s="2">
        <v>46189</v>
      </c>
    </row>
    <row r="122" spans="1:9" x14ac:dyDescent="0.35">
      <c r="A122" t="s">
        <v>148</v>
      </c>
      <c r="B122" s="2">
        <v>46184</v>
      </c>
      <c r="C122" t="s">
        <v>34</v>
      </c>
      <c r="D122" t="s">
        <v>35</v>
      </c>
      <c r="E122" t="s">
        <v>12</v>
      </c>
      <c r="F122">
        <v>25</v>
      </c>
      <c r="G122" t="s">
        <v>26</v>
      </c>
      <c r="H122" s="2">
        <v>46188</v>
      </c>
    </row>
    <row r="123" spans="1:9" x14ac:dyDescent="0.35">
      <c r="A123" t="s">
        <v>149</v>
      </c>
      <c r="B123" s="2">
        <v>46124</v>
      </c>
      <c r="C123" t="s">
        <v>10</v>
      </c>
      <c r="D123" t="s">
        <v>11</v>
      </c>
      <c r="E123" t="s">
        <v>46</v>
      </c>
      <c r="F123">
        <v>29</v>
      </c>
      <c r="G123" t="s">
        <v>26</v>
      </c>
      <c r="H123" s="2">
        <v>46126</v>
      </c>
    </row>
    <row r="124" spans="1:9" x14ac:dyDescent="0.35">
      <c r="A124" t="s">
        <v>150</v>
      </c>
      <c r="B124" s="2">
        <v>46146</v>
      </c>
      <c r="C124" t="s">
        <v>19</v>
      </c>
      <c r="D124" t="s">
        <v>20</v>
      </c>
      <c r="E124" t="s">
        <v>17</v>
      </c>
      <c r="F124">
        <v>13</v>
      </c>
      <c r="G124" t="s">
        <v>26</v>
      </c>
      <c r="H124" s="2">
        <v>46148</v>
      </c>
    </row>
    <row r="125" spans="1:9" x14ac:dyDescent="0.35">
      <c r="A125" t="s">
        <v>151</v>
      </c>
      <c r="B125" s="2">
        <v>46145</v>
      </c>
      <c r="C125" t="s">
        <v>34</v>
      </c>
      <c r="D125" t="s">
        <v>35</v>
      </c>
      <c r="E125" t="s">
        <v>55</v>
      </c>
      <c r="F125">
        <v>17</v>
      </c>
      <c r="G125" t="s">
        <v>13</v>
      </c>
      <c r="H125" s="2">
        <v>46146</v>
      </c>
      <c r="I125" s="2">
        <v>46145</v>
      </c>
    </row>
    <row r="126" spans="1:9" x14ac:dyDescent="0.35">
      <c r="A126" t="s">
        <v>152</v>
      </c>
      <c r="B126" s="2">
        <v>46160</v>
      </c>
      <c r="C126" t="s">
        <v>15</v>
      </c>
      <c r="D126" t="s">
        <v>16</v>
      </c>
      <c r="E126" t="s">
        <v>43</v>
      </c>
      <c r="F126">
        <v>3</v>
      </c>
      <c r="G126" t="s">
        <v>13</v>
      </c>
      <c r="H126" s="2">
        <v>46162</v>
      </c>
      <c r="I126" s="2">
        <v>46161</v>
      </c>
    </row>
    <row r="127" spans="1:9" x14ac:dyDescent="0.35">
      <c r="A127" t="s">
        <v>153</v>
      </c>
      <c r="B127" s="2">
        <v>46135</v>
      </c>
      <c r="C127" t="s">
        <v>15</v>
      </c>
      <c r="D127" t="s">
        <v>16</v>
      </c>
      <c r="E127" t="s">
        <v>17</v>
      </c>
      <c r="F127">
        <v>8</v>
      </c>
      <c r="G127" t="s">
        <v>13</v>
      </c>
      <c r="H127" s="2">
        <v>46139</v>
      </c>
      <c r="I127" s="2">
        <v>46138</v>
      </c>
    </row>
    <row r="128" spans="1:9" x14ac:dyDescent="0.35">
      <c r="A128" t="s">
        <v>154</v>
      </c>
      <c r="B128" s="2">
        <v>46174</v>
      </c>
      <c r="C128" t="s">
        <v>34</v>
      </c>
      <c r="D128" t="s">
        <v>35</v>
      </c>
      <c r="E128" t="s">
        <v>24</v>
      </c>
      <c r="F128">
        <v>14</v>
      </c>
      <c r="G128" t="s">
        <v>13</v>
      </c>
      <c r="H128" s="2">
        <v>46175</v>
      </c>
      <c r="I128" s="2">
        <v>46174</v>
      </c>
    </row>
    <row r="129" spans="1:9" x14ac:dyDescent="0.35">
      <c r="A129" t="s">
        <v>155</v>
      </c>
      <c r="B129" s="2">
        <v>46200</v>
      </c>
      <c r="C129" t="s">
        <v>34</v>
      </c>
      <c r="D129" t="s">
        <v>35</v>
      </c>
      <c r="E129" t="s">
        <v>12</v>
      </c>
      <c r="F129">
        <v>3</v>
      </c>
      <c r="G129" t="s">
        <v>13</v>
      </c>
      <c r="H129" s="2">
        <v>46201</v>
      </c>
      <c r="I129" s="2">
        <v>46201</v>
      </c>
    </row>
    <row r="130" spans="1:9" x14ac:dyDescent="0.35">
      <c r="A130" t="s">
        <v>156</v>
      </c>
      <c r="B130" s="2">
        <v>46149</v>
      </c>
      <c r="C130" t="s">
        <v>34</v>
      </c>
      <c r="D130" t="s">
        <v>35</v>
      </c>
      <c r="E130" t="s">
        <v>24</v>
      </c>
      <c r="F130">
        <v>16</v>
      </c>
      <c r="G130" t="s">
        <v>13</v>
      </c>
      <c r="H130" s="2">
        <v>46151</v>
      </c>
      <c r="I130" s="2">
        <v>46151</v>
      </c>
    </row>
    <row r="131" spans="1:9" x14ac:dyDescent="0.35">
      <c r="A131" t="s">
        <v>157</v>
      </c>
      <c r="B131" s="2">
        <v>46156</v>
      </c>
      <c r="C131" t="s">
        <v>19</v>
      </c>
      <c r="D131" t="s">
        <v>20</v>
      </c>
      <c r="E131" t="s">
        <v>22</v>
      </c>
      <c r="F131">
        <v>13</v>
      </c>
      <c r="G131" t="s">
        <v>13</v>
      </c>
      <c r="H131" s="2">
        <v>46160</v>
      </c>
      <c r="I131" s="2">
        <v>46159</v>
      </c>
    </row>
    <row r="132" spans="1:9" x14ac:dyDescent="0.35">
      <c r="A132" t="s">
        <v>158</v>
      </c>
      <c r="B132" s="2">
        <v>46198</v>
      </c>
      <c r="C132" t="s">
        <v>34</v>
      </c>
      <c r="D132" t="s">
        <v>35</v>
      </c>
      <c r="E132" t="s">
        <v>12</v>
      </c>
      <c r="F132">
        <v>20</v>
      </c>
      <c r="G132" t="s">
        <v>13</v>
      </c>
      <c r="H132" s="2">
        <v>46199</v>
      </c>
      <c r="I132" s="2">
        <v>46198</v>
      </c>
    </row>
    <row r="133" spans="1:9" x14ac:dyDescent="0.35">
      <c r="A133" t="s">
        <v>159</v>
      </c>
      <c r="B133" s="2">
        <v>46203</v>
      </c>
      <c r="C133" t="s">
        <v>34</v>
      </c>
      <c r="D133" t="s">
        <v>35</v>
      </c>
      <c r="E133" t="s">
        <v>17</v>
      </c>
      <c r="F133">
        <v>24</v>
      </c>
      <c r="G133" t="s">
        <v>26</v>
      </c>
      <c r="H133" s="2">
        <v>46207</v>
      </c>
    </row>
    <row r="134" spans="1:9" x14ac:dyDescent="0.35">
      <c r="A134" t="s">
        <v>160</v>
      </c>
      <c r="B134" s="2">
        <v>46147</v>
      </c>
      <c r="C134" t="s">
        <v>10</v>
      </c>
      <c r="D134" t="s">
        <v>11</v>
      </c>
      <c r="E134" t="s">
        <v>32</v>
      </c>
      <c r="F134">
        <v>17</v>
      </c>
      <c r="G134" t="s">
        <v>13</v>
      </c>
      <c r="H134" s="2">
        <v>46151</v>
      </c>
      <c r="I134" s="2">
        <v>46150</v>
      </c>
    </row>
    <row r="135" spans="1:9" x14ac:dyDescent="0.35">
      <c r="A135" t="s">
        <v>161</v>
      </c>
      <c r="B135" s="2">
        <v>46177</v>
      </c>
      <c r="C135" t="s">
        <v>34</v>
      </c>
      <c r="D135" t="s">
        <v>35</v>
      </c>
      <c r="E135" t="s">
        <v>55</v>
      </c>
      <c r="F135">
        <v>13</v>
      </c>
      <c r="G135" t="s">
        <v>13</v>
      </c>
      <c r="H135" s="2">
        <v>46181</v>
      </c>
      <c r="I135" s="2">
        <v>46180</v>
      </c>
    </row>
    <row r="136" spans="1:9" x14ac:dyDescent="0.35">
      <c r="A136" t="s">
        <v>162</v>
      </c>
      <c r="B136" s="2">
        <v>46159</v>
      </c>
      <c r="C136" t="s">
        <v>19</v>
      </c>
      <c r="D136" t="s">
        <v>20</v>
      </c>
      <c r="E136" t="s">
        <v>32</v>
      </c>
      <c r="F136">
        <v>29</v>
      </c>
      <c r="G136" t="s">
        <v>13</v>
      </c>
      <c r="H136" s="2">
        <v>46161</v>
      </c>
      <c r="I136" s="2">
        <v>46161</v>
      </c>
    </row>
    <row r="137" spans="1:9" x14ac:dyDescent="0.35">
      <c r="A137" t="s">
        <v>163</v>
      </c>
      <c r="B137" s="2">
        <v>46190</v>
      </c>
      <c r="C137" t="s">
        <v>10</v>
      </c>
      <c r="D137" t="s">
        <v>11</v>
      </c>
      <c r="E137" t="s">
        <v>17</v>
      </c>
      <c r="F137">
        <v>6</v>
      </c>
      <c r="G137" t="s">
        <v>13</v>
      </c>
      <c r="H137" s="2">
        <v>46193</v>
      </c>
      <c r="I137" s="2">
        <v>46192</v>
      </c>
    </row>
    <row r="138" spans="1:9" x14ac:dyDescent="0.35">
      <c r="A138" t="s">
        <v>164</v>
      </c>
      <c r="B138" s="2">
        <v>46115</v>
      </c>
      <c r="C138" t="s">
        <v>15</v>
      </c>
      <c r="D138" t="s">
        <v>16</v>
      </c>
      <c r="E138" t="s">
        <v>22</v>
      </c>
      <c r="F138">
        <v>17</v>
      </c>
      <c r="G138" t="s">
        <v>13</v>
      </c>
      <c r="H138" s="2">
        <v>46118</v>
      </c>
      <c r="I138" s="2">
        <v>46117</v>
      </c>
    </row>
    <row r="139" spans="1:9" x14ac:dyDescent="0.35">
      <c r="A139" t="s">
        <v>165</v>
      </c>
      <c r="B139" s="2">
        <v>46113</v>
      </c>
      <c r="C139" t="s">
        <v>10</v>
      </c>
      <c r="D139" t="s">
        <v>11</v>
      </c>
      <c r="E139" t="s">
        <v>24</v>
      </c>
      <c r="F139">
        <v>14</v>
      </c>
      <c r="G139" t="s">
        <v>26</v>
      </c>
      <c r="H139" s="2">
        <v>46114</v>
      </c>
    </row>
    <row r="140" spans="1:9" x14ac:dyDescent="0.35">
      <c r="A140" t="s">
        <v>166</v>
      </c>
      <c r="B140" s="2">
        <v>46117</v>
      </c>
      <c r="C140" t="s">
        <v>34</v>
      </c>
      <c r="D140" t="s">
        <v>35</v>
      </c>
      <c r="E140" t="s">
        <v>12</v>
      </c>
      <c r="F140">
        <v>17</v>
      </c>
      <c r="G140" t="s">
        <v>26</v>
      </c>
      <c r="H140" s="2">
        <v>46121</v>
      </c>
    </row>
    <row r="141" spans="1:9" x14ac:dyDescent="0.35">
      <c r="A141" t="s">
        <v>167</v>
      </c>
      <c r="B141" s="2">
        <v>46202</v>
      </c>
      <c r="C141" t="s">
        <v>34</v>
      </c>
      <c r="D141" t="s">
        <v>35</v>
      </c>
      <c r="E141" t="s">
        <v>32</v>
      </c>
      <c r="F141">
        <v>30</v>
      </c>
      <c r="G141" t="s">
        <v>13</v>
      </c>
      <c r="H141" s="2">
        <v>46204</v>
      </c>
      <c r="I141" s="2">
        <v>46203</v>
      </c>
    </row>
    <row r="142" spans="1:9" x14ac:dyDescent="0.35">
      <c r="A142" t="s">
        <v>168</v>
      </c>
      <c r="B142" s="2">
        <v>46126</v>
      </c>
      <c r="C142" t="s">
        <v>34</v>
      </c>
      <c r="D142" t="s">
        <v>35</v>
      </c>
      <c r="E142" t="s">
        <v>17</v>
      </c>
      <c r="F142">
        <v>8</v>
      </c>
      <c r="G142" t="s">
        <v>62</v>
      </c>
      <c r="H142" s="2">
        <v>46130</v>
      </c>
      <c r="I142" s="2">
        <v>46132</v>
      </c>
    </row>
    <row r="143" spans="1:9" x14ac:dyDescent="0.35">
      <c r="A143" t="s">
        <v>169</v>
      </c>
      <c r="B143" s="2">
        <v>46139</v>
      </c>
      <c r="C143" t="s">
        <v>34</v>
      </c>
      <c r="D143" t="s">
        <v>35</v>
      </c>
      <c r="E143" t="s">
        <v>32</v>
      </c>
      <c r="F143">
        <v>11</v>
      </c>
      <c r="G143" t="s">
        <v>62</v>
      </c>
      <c r="H143" s="2">
        <v>46143</v>
      </c>
      <c r="I143" s="2">
        <v>46147</v>
      </c>
    </row>
    <row r="144" spans="1:9" x14ac:dyDescent="0.35">
      <c r="A144" t="s">
        <v>170</v>
      </c>
      <c r="B144" s="2">
        <v>46121</v>
      </c>
      <c r="C144" t="s">
        <v>19</v>
      </c>
      <c r="D144" t="s">
        <v>20</v>
      </c>
      <c r="E144" t="s">
        <v>17</v>
      </c>
      <c r="F144">
        <v>20</v>
      </c>
      <c r="G144" t="s">
        <v>26</v>
      </c>
      <c r="H144" s="2">
        <v>46123</v>
      </c>
    </row>
    <row r="145" spans="1:9" x14ac:dyDescent="0.35">
      <c r="A145" t="s">
        <v>171</v>
      </c>
      <c r="B145" s="2">
        <v>46191</v>
      </c>
      <c r="C145" t="s">
        <v>15</v>
      </c>
      <c r="D145" t="s">
        <v>16</v>
      </c>
      <c r="E145" t="s">
        <v>24</v>
      </c>
      <c r="F145">
        <v>28</v>
      </c>
      <c r="G145" t="s">
        <v>26</v>
      </c>
      <c r="H145" s="2">
        <v>46194</v>
      </c>
    </row>
    <row r="146" spans="1:9" x14ac:dyDescent="0.35">
      <c r="A146" t="s">
        <v>172</v>
      </c>
      <c r="B146" s="2">
        <v>46127</v>
      </c>
      <c r="C146" t="s">
        <v>34</v>
      </c>
      <c r="D146" t="s">
        <v>35</v>
      </c>
      <c r="E146" t="s">
        <v>12</v>
      </c>
      <c r="F146">
        <v>1</v>
      </c>
      <c r="G146" t="s">
        <v>13</v>
      </c>
      <c r="H146" s="2">
        <v>46131</v>
      </c>
      <c r="I146" s="2">
        <v>46130</v>
      </c>
    </row>
    <row r="147" spans="1:9" x14ac:dyDescent="0.35">
      <c r="A147" t="s">
        <v>173</v>
      </c>
      <c r="B147" s="2">
        <v>46202</v>
      </c>
      <c r="C147" t="s">
        <v>15</v>
      </c>
      <c r="D147" t="s">
        <v>16</v>
      </c>
      <c r="E147" t="s">
        <v>55</v>
      </c>
      <c r="F147">
        <v>26</v>
      </c>
      <c r="G147" t="s">
        <v>13</v>
      </c>
      <c r="H147" s="2">
        <v>46206</v>
      </c>
      <c r="I147" s="2">
        <v>46205</v>
      </c>
    </row>
    <row r="148" spans="1:9" x14ac:dyDescent="0.35">
      <c r="A148" t="s">
        <v>174</v>
      </c>
      <c r="B148" s="2">
        <v>46154</v>
      </c>
      <c r="C148" t="s">
        <v>10</v>
      </c>
      <c r="D148" t="s">
        <v>11</v>
      </c>
      <c r="E148" t="s">
        <v>24</v>
      </c>
      <c r="F148">
        <v>7</v>
      </c>
      <c r="G148" t="s">
        <v>13</v>
      </c>
      <c r="H148" s="2">
        <v>46157</v>
      </c>
      <c r="I148" s="2">
        <v>46157</v>
      </c>
    </row>
    <row r="149" spans="1:9" x14ac:dyDescent="0.35">
      <c r="A149" t="s">
        <v>175</v>
      </c>
      <c r="B149" s="2">
        <v>46189</v>
      </c>
      <c r="C149" t="s">
        <v>15</v>
      </c>
      <c r="D149" t="s">
        <v>16</v>
      </c>
      <c r="E149" t="s">
        <v>32</v>
      </c>
      <c r="F149">
        <v>21</v>
      </c>
      <c r="G149" t="s">
        <v>13</v>
      </c>
      <c r="H149" s="2">
        <v>46191</v>
      </c>
      <c r="I149" s="2">
        <v>46191</v>
      </c>
    </row>
    <row r="150" spans="1:9" x14ac:dyDescent="0.35">
      <c r="A150" t="s">
        <v>176</v>
      </c>
      <c r="B150" s="2">
        <v>46163</v>
      </c>
      <c r="C150" t="s">
        <v>19</v>
      </c>
      <c r="D150" t="s">
        <v>20</v>
      </c>
      <c r="E150" t="s">
        <v>55</v>
      </c>
      <c r="F150">
        <v>21</v>
      </c>
      <c r="G150" t="s">
        <v>62</v>
      </c>
      <c r="H150" s="2">
        <v>46164</v>
      </c>
      <c r="I150" s="2">
        <v>46167</v>
      </c>
    </row>
    <row r="151" spans="1:9" x14ac:dyDescent="0.35">
      <c r="A151" t="s">
        <v>177</v>
      </c>
      <c r="B151" s="2">
        <v>46175</v>
      </c>
      <c r="C151" t="s">
        <v>34</v>
      </c>
      <c r="D151" t="s">
        <v>35</v>
      </c>
      <c r="E151" t="s">
        <v>17</v>
      </c>
      <c r="F151">
        <v>17</v>
      </c>
      <c r="G151" t="s">
        <v>13</v>
      </c>
      <c r="H151" s="2">
        <v>46178</v>
      </c>
      <c r="I151" s="2">
        <v>46178</v>
      </c>
    </row>
    <row r="152" spans="1:9" x14ac:dyDescent="0.35">
      <c r="A152" t="s">
        <v>178</v>
      </c>
      <c r="B152" s="2">
        <v>46164</v>
      </c>
      <c r="C152" t="s">
        <v>19</v>
      </c>
      <c r="D152" t="s">
        <v>20</v>
      </c>
      <c r="E152" t="s">
        <v>55</v>
      </c>
      <c r="F152">
        <v>30</v>
      </c>
      <c r="G152" t="s">
        <v>26</v>
      </c>
      <c r="H152" s="2">
        <v>46165</v>
      </c>
    </row>
    <row r="153" spans="1:9" x14ac:dyDescent="0.35">
      <c r="A153" t="s">
        <v>179</v>
      </c>
      <c r="B153" s="2">
        <v>46116</v>
      </c>
      <c r="C153" t="s">
        <v>19</v>
      </c>
      <c r="D153" t="s">
        <v>20</v>
      </c>
      <c r="E153" t="s">
        <v>17</v>
      </c>
      <c r="F153">
        <v>10</v>
      </c>
      <c r="G153" t="s">
        <v>26</v>
      </c>
      <c r="H153" s="2">
        <v>46117</v>
      </c>
    </row>
    <row r="154" spans="1:9" x14ac:dyDescent="0.35">
      <c r="A154" t="s">
        <v>180</v>
      </c>
      <c r="B154" s="2">
        <v>46135</v>
      </c>
      <c r="C154" t="s">
        <v>19</v>
      </c>
      <c r="D154" t="s">
        <v>20</v>
      </c>
      <c r="E154" t="s">
        <v>24</v>
      </c>
      <c r="F154">
        <v>11</v>
      </c>
      <c r="G154" t="s">
        <v>26</v>
      </c>
      <c r="H154" s="2">
        <v>46138</v>
      </c>
    </row>
    <row r="155" spans="1:9" x14ac:dyDescent="0.35">
      <c r="A155" t="s">
        <v>181</v>
      </c>
      <c r="B155" s="2">
        <v>46127</v>
      </c>
      <c r="C155" t="s">
        <v>19</v>
      </c>
      <c r="D155" t="s">
        <v>20</v>
      </c>
      <c r="E155" t="s">
        <v>32</v>
      </c>
      <c r="F155">
        <v>22</v>
      </c>
      <c r="G155" t="s">
        <v>62</v>
      </c>
      <c r="H155" s="2">
        <v>46131</v>
      </c>
      <c r="I155" s="2">
        <v>46132</v>
      </c>
    </row>
    <row r="156" spans="1:9" x14ac:dyDescent="0.35">
      <c r="A156" t="s">
        <v>182</v>
      </c>
      <c r="B156" s="2">
        <v>46155</v>
      </c>
      <c r="C156" t="s">
        <v>34</v>
      </c>
      <c r="D156" t="s">
        <v>35</v>
      </c>
      <c r="E156" t="s">
        <v>22</v>
      </c>
      <c r="F156">
        <v>30</v>
      </c>
      <c r="G156" t="s">
        <v>13</v>
      </c>
      <c r="H156" s="2">
        <v>46156</v>
      </c>
      <c r="I156" s="2">
        <v>46156</v>
      </c>
    </row>
    <row r="157" spans="1:9" x14ac:dyDescent="0.35">
      <c r="A157" t="s">
        <v>183</v>
      </c>
      <c r="B157" s="2">
        <v>46141</v>
      </c>
      <c r="C157" t="s">
        <v>10</v>
      </c>
      <c r="D157" t="s">
        <v>11</v>
      </c>
      <c r="E157" t="s">
        <v>32</v>
      </c>
      <c r="F157">
        <v>9</v>
      </c>
      <c r="G157" t="s">
        <v>13</v>
      </c>
      <c r="H157" s="2">
        <v>46142</v>
      </c>
      <c r="I157" s="2">
        <v>46141</v>
      </c>
    </row>
    <row r="158" spans="1:9" x14ac:dyDescent="0.35">
      <c r="A158" t="s">
        <v>184</v>
      </c>
      <c r="B158" s="2">
        <v>46148</v>
      </c>
      <c r="C158" t="s">
        <v>15</v>
      </c>
      <c r="D158" t="s">
        <v>16</v>
      </c>
      <c r="E158" t="s">
        <v>17</v>
      </c>
      <c r="F158">
        <v>9</v>
      </c>
      <c r="G158" t="s">
        <v>13</v>
      </c>
      <c r="H158" s="2">
        <v>46150</v>
      </c>
      <c r="I158" s="2">
        <v>46149</v>
      </c>
    </row>
    <row r="159" spans="1:9" x14ac:dyDescent="0.35">
      <c r="A159" t="s">
        <v>185</v>
      </c>
      <c r="B159" s="2">
        <v>46125</v>
      </c>
      <c r="C159" t="s">
        <v>15</v>
      </c>
      <c r="D159" t="s">
        <v>16</v>
      </c>
      <c r="E159" t="s">
        <v>46</v>
      </c>
      <c r="F159">
        <v>24</v>
      </c>
      <c r="G159" t="s">
        <v>13</v>
      </c>
      <c r="H159" s="2">
        <v>46129</v>
      </c>
      <c r="I159" s="2">
        <v>46129</v>
      </c>
    </row>
    <row r="160" spans="1:9" x14ac:dyDescent="0.35">
      <c r="A160" t="s">
        <v>186</v>
      </c>
      <c r="B160" s="2">
        <v>46144</v>
      </c>
      <c r="C160" t="s">
        <v>34</v>
      </c>
      <c r="D160" t="s">
        <v>35</v>
      </c>
      <c r="E160" t="s">
        <v>12</v>
      </c>
      <c r="F160">
        <v>5</v>
      </c>
      <c r="G160" t="s">
        <v>13</v>
      </c>
      <c r="H160" s="2">
        <v>46145</v>
      </c>
      <c r="I160" s="2">
        <v>46144</v>
      </c>
    </row>
    <row r="161" spans="1:9" x14ac:dyDescent="0.35">
      <c r="A161" t="s">
        <v>187</v>
      </c>
      <c r="B161" s="2">
        <v>46183</v>
      </c>
      <c r="C161" t="s">
        <v>10</v>
      </c>
      <c r="D161" t="s">
        <v>11</v>
      </c>
      <c r="E161" t="s">
        <v>43</v>
      </c>
      <c r="F161">
        <v>17</v>
      </c>
      <c r="G161" t="s">
        <v>13</v>
      </c>
      <c r="H161" s="2">
        <v>46185</v>
      </c>
      <c r="I161" s="2">
        <v>46185</v>
      </c>
    </row>
    <row r="162" spans="1:9" x14ac:dyDescent="0.35">
      <c r="A162" t="s">
        <v>188</v>
      </c>
      <c r="B162" s="2">
        <v>46171</v>
      </c>
      <c r="C162" t="s">
        <v>34</v>
      </c>
      <c r="D162" t="s">
        <v>35</v>
      </c>
      <c r="E162" t="s">
        <v>22</v>
      </c>
      <c r="F162">
        <v>9</v>
      </c>
      <c r="G162" t="s">
        <v>26</v>
      </c>
      <c r="H162" s="2">
        <v>46175</v>
      </c>
    </row>
    <row r="163" spans="1:9" x14ac:dyDescent="0.35">
      <c r="A163" t="s">
        <v>189</v>
      </c>
      <c r="B163" s="2">
        <v>46198</v>
      </c>
      <c r="C163" t="s">
        <v>10</v>
      </c>
      <c r="D163" t="s">
        <v>11</v>
      </c>
      <c r="E163" t="s">
        <v>55</v>
      </c>
      <c r="F163">
        <v>17</v>
      </c>
      <c r="G163" t="s">
        <v>13</v>
      </c>
      <c r="H163" s="2">
        <v>46201</v>
      </c>
      <c r="I163" s="2">
        <v>46200</v>
      </c>
    </row>
    <row r="164" spans="1:9" x14ac:dyDescent="0.35">
      <c r="A164" t="s">
        <v>190</v>
      </c>
      <c r="B164" s="2">
        <v>46140</v>
      </c>
      <c r="C164" t="s">
        <v>19</v>
      </c>
      <c r="D164" t="s">
        <v>20</v>
      </c>
      <c r="E164" t="s">
        <v>22</v>
      </c>
      <c r="F164">
        <v>24</v>
      </c>
      <c r="G164" t="s">
        <v>13</v>
      </c>
      <c r="H164" s="2">
        <v>46143</v>
      </c>
      <c r="I164" s="2">
        <v>46142</v>
      </c>
    </row>
    <row r="165" spans="1:9" x14ac:dyDescent="0.35">
      <c r="A165" t="s">
        <v>191</v>
      </c>
      <c r="B165" s="2">
        <v>46178</v>
      </c>
      <c r="C165" t="s">
        <v>10</v>
      </c>
      <c r="D165" t="s">
        <v>11</v>
      </c>
      <c r="E165" t="s">
        <v>12</v>
      </c>
      <c r="F165">
        <v>21</v>
      </c>
      <c r="G165" t="s">
        <v>13</v>
      </c>
      <c r="H165" s="2">
        <v>46180</v>
      </c>
      <c r="I165" s="2">
        <v>46179</v>
      </c>
    </row>
    <row r="166" spans="1:9" x14ac:dyDescent="0.35">
      <c r="A166" t="s">
        <v>192</v>
      </c>
      <c r="B166" s="2">
        <v>46154</v>
      </c>
      <c r="C166" t="s">
        <v>10</v>
      </c>
      <c r="D166" t="s">
        <v>11</v>
      </c>
      <c r="E166" t="s">
        <v>55</v>
      </c>
      <c r="F166">
        <v>19</v>
      </c>
      <c r="G166" t="s">
        <v>13</v>
      </c>
      <c r="H166" s="2">
        <v>46157</v>
      </c>
      <c r="I166" s="2">
        <v>46156</v>
      </c>
    </row>
    <row r="167" spans="1:9" x14ac:dyDescent="0.35">
      <c r="A167" t="s">
        <v>193</v>
      </c>
      <c r="B167" s="2">
        <v>46157</v>
      </c>
      <c r="C167" t="s">
        <v>19</v>
      </c>
      <c r="D167" t="s">
        <v>20</v>
      </c>
      <c r="E167" t="s">
        <v>12</v>
      </c>
      <c r="F167">
        <v>27</v>
      </c>
      <c r="G167" t="s">
        <v>13</v>
      </c>
      <c r="H167" s="2">
        <v>46158</v>
      </c>
      <c r="I167" s="2">
        <v>46157</v>
      </c>
    </row>
    <row r="168" spans="1:9" x14ac:dyDescent="0.35">
      <c r="A168" t="s">
        <v>194</v>
      </c>
      <c r="B168" s="2">
        <v>46174</v>
      </c>
      <c r="C168" t="s">
        <v>19</v>
      </c>
      <c r="D168" t="s">
        <v>20</v>
      </c>
      <c r="E168" t="s">
        <v>55</v>
      </c>
      <c r="F168">
        <v>7</v>
      </c>
      <c r="G168" t="s">
        <v>26</v>
      </c>
      <c r="H168" s="2">
        <v>46178</v>
      </c>
    </row>
    <row r="169" spans="1:9" x14ac:dyDescent="0.35">
      <c r="A169" t="s">
        <v>195</v>
      </c>
      <c r="B169" s="2">
        <v>46169</v>
      </c>
      <c r="C169" t="s">
        <v>10</v>
      </c>
      <c r="D169" t="s">
        <v>11</v>
      </c>
      <c r="E169" t="s">
        <v>22</v>
      </c>
      <c r="F169">
        <v>23</v>
      </c>
      <c r="G169" t="s">
        <v>13</v>
      </c>
      <c r="H169" s="2">
        <v>46170</v>
      </c>
      <c r="I169" s="2">
        <v>46169</v>
      </c>
    </row>
    <row r="170" spans="1:9" x14ac:dyDescent="0.35">
      <c r="A170" t="s">
        <v>196</v>
      </c>
      <c r="B170" s="2">
        <v>46118</v>
      </c>
      <c r="C170" t="s">
        <v>19</v>
      </c>
      <c r="D170" t="s">
        <v>20</v>
      </c>
      <c r="E170" t="s">
        <v>55</v>
      </c>
      <c r="F170">
        <v>9</v>
      </c>
      <c r="G170" t="s">
        <v>26</v>
      </c>
      <c r="H170" s="2">
        <v>46119</v>
      </c>
    </row>
    <row r="171" spans="1:9" x14ac:dyDescent="0.35">
      <c r="A171" t="s">
        <v>197</v>
      </c>
      <c r="B171" s="2">
        <v>46140</v>
      </c>
      <c r="C171" t="s">
        <v>19</v>
      </c>
      <c r="D171" t="s">
        <v>20</v>
      </c>
      <c r="E171" t="s">
        <v>55</v>
      </c>
      <c r="F171">
        <v>7</v>
      </c>
      <c r="G171" t="s">
        <v>13</v>
      </c>
      <c r="H171" s="2">
        <v>46143</v>
      </c>
      <c r="I171" s="2">
        <v>46143</v>
      </c>
    </row>
    <row r="172" spans="1:9" x14ac:dyDescent="0.35">
      <c r="A172" t="s">
        <v>198</v>
      </c>
      <c r="B172" s="2">
        <v>46140</v>
      </c>
      <c r="C172" t="s">
        <v>19</v>
      </c>
      <c r="D172" t="s">
        <v>20</v>
      </c>
      <c r="E172" t="s">
        <v>46</v>
      </c>
      <c r="F172">
        <v>13</v>
      </c>
      <c r="G172" t="s">
        <v>26</v>
      </c>
      <c r="H172" s="2">
        <v>46141</v>
      </c>
    </row>
    <row r="173" spans="1:9" x14ac:dyDescent="0.35">
      <c r="A173" t="s">
        <v>199</v>
      </c>
      <c r="B173" s="2">
        <v>46156</v>
      </c>
      <c r="C173" t="s">
        <v>15</v>
      </c>
      <c r="D173" t="s">
        <v>16</v>
      </c>
      <c r="E173" t="s">
        <v>32</v>
      </c>
      <c r="F173">
        <v>11</v>
      </c>
      <c r="G173" t="s">
        <v>13</v>
      </c>
      <c r="H173" s="2">
        <v>46159</v>
      </c>
      <c r="I173" s="2">
        <v>46159</v>
      </c>
    </row>
    <row r="174" spans="1:9" x14ac:dyDescent="0.35">
      <c r="A174" t="s">
        <v>200</v>
      </c>
      <c r="B174" s="2">
        <v>46196</v>
      </c>
      <c r="C174" t="s">
        <v>34</v>
      </c>
      <c r="D174" t="s">
        <v>35</v>
      </c>
      <c r="E174" t="s">
        <v>32</v>
      </c>
      <c r="F174">
        <v>14</v>
      </c>
      <c r="G174" t="s">
        <v>13</v>
      </c>
      <c r="H174" s="2">
        <v>46200</v>
      </c>
      <c r="I174" s="2">
        <v>46199</v>
      </c>
    </row>
    <row r="175" spans="1:9" x14ac:dyDescent="0.35">
      <c r="A175" t="s">
        <v>201</v>
      </c>
      <c r="B175" s="2">
        <v>46142</v>
      </c>
      <c r="C175" t="s">
        <v>34</v>
      </c>
      <c r="D175" t="s">
        <v>35</v>
      </c>
      <c r="E175" t="s">
        <v>43</v>
      </c>
      <c r="F175">
        <v>19</v>
      </c>
      <c r="G175" t="s">
        <v>13</v>
      </c>
      <c r="H175" s="2">
        <v>46146</v>
      </c>
      <c r="I175" s="2">
        <v>46146</v>
      </c>
    </row>
    <row r="176" spans="1:9" x14ac:dyDescent="0.35">
      <c r="A176" t="s">
        <v>202</v>
      </c>
      <c r="B176" s="2">
        <v>46174</v>
      </c>
      <c r="C176" t="s">
        <v>15</v>
      </c>
      <c r="D176" t="s">
        <v>16</v>
      </c>
      <c r="E176" t="s">
        <v>43</v>
      </c>
      <c r="F176">
        <v>11</v>
      </c>
      <c r="G176" t="s">
        <v>26</v>
      </c>
      <c r="H176" s="2">
        <v>46175</v>
      </c>
    </row>
    <row r="177" spans="1:9" x14ac:dyDescent="0.35">
      <c r="A177" t="s">
        <v>203</v>
      </c>
      <c r="B177" s="2">
        <v>46187</v>
      </c>
      <c r="C177" t="s">
        <v>10</v>
      </c>
      <c r="D177" t="s">
        <v>11</v>
      </c>
      <c r="E177" t="s">
        <v>17</v>
      </c>
      <c r="F177">
        <v>13</v>
      </c>
      <c r="G177" t="s">
        <v>13</v>
      </c>
      <c r="H177" s="2">
        <v>46189</v>
      </c>
      <c r="I177" s="2">
        <v>46188</v>
      </c>
    </row>
    <row r="178" spans="1:9" x14ac:dyDescent="0.35">
      <c r="A178" t="s">
        <v>204</v>
      </c>
      <c r="B178" s="2">
        <v>46201</v>
      </c>
      <c r="C178" t="s">
        <v>10</v>
      </c>
      <c r="D178" t="s">
        <v>11</v>
      </c>
      <c r="E178" t="s">
        <v>17</v>
      </c>
      <c r="F178">
        <v>14</v>
      </c>
      <c r="G178" t="s">
        <v>13</v>
      </c>
      <c r="H178" s="2">
        <v>46204</v>
      </c>
      <c r="I178" s="2">
        <v>46204</v>
      </c>
    </row>
    <row r="179" spans="1:9" x14ac:dyDescent="0.35">
      <c r="A179" t="s">
        <v>205</v>
      </c>
      <c r="B179" s="2">
        <v>46174</v>
      </c>
      <c r="C179" t="s">
        <v>19</v>
      </c>
      <c r="D179" t="s">
        <v>20</v>
      </c>
      <c r="E179" t="s">
        <v>17</v>
      </c>
      <c r="F179">
        <v>13</v>
      </c>
      <c r="G179" t="s">
        <v>62</v>
      </c>
      <c r="H179" s="2">
        <v>46177</v>
      </c>
      <c r="I179" s="2">
        <v>46179</v>
      </c>
    </row>
    <row r="180" spans="1:9" x14ac:dyDescent="0.35">
      <c r="A180" t="s">
        <v>206</v>
      </c>
      <c r="B180" s="2">
        <v>46113</v>
      </c>
      <c r="C180" t="s">
        <v>15</v>
      </c>
      <c r="D180" t="s">
        <v>16</v>
      </c>
      <c r="E180" t="s">
        <v>46</v>
      </c>
      <c r="F180">
        <v>1</v>
      </c>
      <c r="G180" t="s">
        <v>26</v>
      </c>
      <c r="H180" s="2">
        <v>46114</v>
      </c>
    </row>
    <row r="181" spans="1:9" x14ac:dyDescent="0.35">
      <c r="A181" t="s">
        <v>207</v>
      </c>
      <c r="B181" s="2">
        <v>46139</v>
      </c>
      <c r="C181" t="s">
        <v>19</v>
      </c>
      <c r="D181" t="s">
        <v>20</v>
      </c>
      <c r="E181" t="s">
        <v>43</v>
      </c>
      <c r="F181">
        <v>8</v>
      </c>
      <c r="G181" t="s">
        <v>13</v>
      </c>
      <c r="H181" s="2">
        <v>46142</v>
      </c>
      <c r="I181" s="2">
        <v>46142</v>
      </c>
    </row>
    <row r="182" spans="1:9" x14ac:dyDescent="0.35">
      <c r="A182" t="s">
        <v>208</v>
      </c>
      <c r="B182" s="2">
        <v>46174</v>
      </c>
      <c r="C182" t="s">
        <v>10</v>
      </c>
      <c r="D182" t="s">
        <v>11</v>
      </c>
      <c r="E182" t="s">
        <v>12</v>
      </c>
      <c r="F182">
        <v>12</v>
      </c>
      <c r="G182" t="s">
        <v>13</v>
      </c>
      <c r="H182" s="2">
        <v>46177</v>
      </c>
      <c r="I182" s="2">
        <v>46176</v>
      </c>
    </row>
    <row r="183" spans="1:9" x14ac:dyDescent="0.35">
      <c r="A183" t="s">
        <v>209</v>
      </c>
      <c r="B183" s="2">
        <v>46189</v>
      </c>
      <c r="C183" t="s">
        <v>10</v>
      </c>
      <c r="D183" t="s">
        <v>11</v>
      </c>
      <c r="E183" t="s">
        <v>17</v>
      </c>
      <c r="F183">
        <v>19</v>
      </c>
      <c r="G183" t="s">
        <v>13</v>
      </c>
      <c r="H183" s="2">
        <v>46191</v>
      </c>
      <c r="I183" s="2">
        <v>46191</v>
      </c>
    </row>
    <row r="184" spans="1:9" x14ac:dyDescent="0.35">
      <c r="A184" t="s">
        <v>210</v>
      </c>
      <c r="B184" s="2">
        <v>46115</v>
      </c>
      <c r="C184" t="s">
        <v>19</v>
      </c>
      <c r="D184" t="s">
        <v>20</v>
      </c>
      <c r="E184" t="s">
        <v>17</v>
      </c>
      <c r="F184">
        <v>12</v>
      </c>
      <c r="G184" t="s">
        <v>13</v>
      </c>
      <c r="H184" s="2">
        <v>46117</v>
      </c>
      <c r="I184" s="2">
        <v>46116</v>
      </c>
    </row>
    <row r="185" spans="1:9" x14ac:dyDescent="0.35">
      <c r="A185" t="s">
        <v>211</v>
      </c>
      <c r="B185" s="2">
        <v>46182</v>
      </c>
      <c r="C185" t="s">
        <v>10</v>
      </c>
      <c r="D185" t="s">
        <v>11</v>
      </c>
      <c r="E185" t="s">
        <v>22</v>
      </c>
      <c r="F185">
        <v>8</v>
      </c>
      <c r="G185" t="s">
        <v>13</v>
      </c>
      <c r="H185" s="2">
        <v>46183</v>
      </c>
      <c r="I185" s="2">
        <v>46183</v>
      </c>
    </row>
    <row r="186" spans="1:9" x14ac:dyDescent="0.35">
      <c r="A186" t="s">
        <v>212</v>
      </c>
      <c r="B186" s="2">
        <v>46184</v>
      </c>
      <c r="C186" t="s">
        <v>34</v>
      </c>
      <c r="D186" t="s">
        <v>35</v>
      </c>
      <c r="E186" t="s">
        <v>24</v>
      </c>
      <c r="F186">
        <v>8</v>
      </c>
      <c r="G186" t="s">
        <v>62</v>
      </c>
      <c r="H186" s="2">
        <v>46186</v>
      </c>
      <c r="I186" s="2">
        <v>46190</v>
      </c>
    </row>
    <row r="187" spans="1:9" x14ac:dyDescent="0.35">
      <c r="A187" t="s">
        <v>213</v>
      </c>
      <c r="B187" s="2">
        <v>46139</v>
      </c>
      <c r="C187" t="s">
        <v>19</v>
      </c>
      <c r="D187" t="s">
        <v>20</v>
      </c>
      <c r="E187" t="s">
        <v>12</v>
      </c>
      <c r="F187">
        <v>29</v>
      </c>
      <c r="G187" t="s">
        <v>62</v>
      </c>
      <c r="H187" s="2">
        <v>46140</v>
      </c>
      <c r="I187" s="2">
        <v>46142</v>
      </c>
    </row>
    <row r="188" spans="1:9" x14ac:dyDescent="0.35">
      <c r="A188" t="s">
        <v>214</v>
      </c>
      <c r="B188" s="2">
        <v>46121</v>
      </c>
      <c r="C188" t="s">
        <v>34</v>
      </c>
      <c r="D188" t="s">
        <v>35</v>
      </c>
      <c r="E188" t="s">
        <v>17</v>
      </c>
      <c r="F188">
        <v>21</v>
      </c>
      <c r="G188" t="s">
        <v>13</v>
      </c>
      <c r="H188" s="2">
        <v>46125</v>
      </c>
      <c r="I188" s="2">
        <v>46124</v>
      </c>
    </row>
    <row r="189" spans="1:9" x14ac:dyDescent="0.35">
      <c r="A189" t="s">
        <v>215</v>
      </c>
      <c r="B189" s="2">
        <v>46174</v>
      </c>
      <c r="C189" t="s">
        <v>15</v>
      </c>
      <c r="D189" t="s">
        <v>16</v>
      </c>
      <c r="E189" t="s">
        <v>17</v>
      </c>
      <c r="F189">
        <v>13</v>
      </c>
      <c r="G189" t="s">
        <v>13</v>
      </c>
      <c r="H189" s="2">
        <v>46175</v>
      </c>
      <c r="I189" s="2">
        <v>46175</v>
      </c>
    </row>
    <row r="190" spans="1:9" x14ac:dyDescent="0.35">
      <c r="A190" t="s">
        <v>216</v>
      </c>
      <c r="B190" s="2">
        <v>46149</v>
      </c>
      <c r="C190" t="s">
        <v>19</v>
      </c>
      <c r="D190" t="s">
        <v>20</v>
      </c>
      <c r="E190" t="s">
        <v>17</v>
      </c>
      <c r="F190">
        <v>12</v>
      </c>
      <c r="G190" t="s">
        <v>13</v>
      </c>
      <c r="H190" s="2">
        <v>46153</v>
      </c>
      <c r="I190" s="2">
        <v>46153</v>
      </c>
    </row>
    <row r="191" spans="1:9" x14ac:dyDescent="0.35">
      <c r="A191" t="s">
        <v>217</v>
      </c>
      <c r="B191" s="2">
        <v>46163</v>
      </c>
      <c r="C191" t="s">
        <v>34</v>
      </c>
      <c r="D191" t="s">
        <v>35</v>
      </c>
      <c r="E191" t="s">
        <v>24</v>
      </c>
      <c r="F191">
        <v>29</v>
      </c>
      <c r="G191" t="s">
        <v>62</v>
      </c>
      <c r="H191" s="2">
        <v>46164</v>
      </c>
      <c r="I191" s="2">
        <v>46165</v>
      </c>
    </row>
    <row r="192" spans="1:9" x14ac:dyDescent="0.35">
      <c r="A192" t="s">
        <v>218</v>
      </c>
      <c r="B192" s="2">
        <v>46156</v>
      </c>
      <c r="C192" t="s">
        <v>19</v>
      </c>
      <c r="D192" t="s">
        <v>20</v>
      </c>
      <c r="E192" t="s">
        <v>24</v>
      </c>
      <c r="F192">
        <v>16</v>
      </c>
      <c r="G192" t="s">
        <v>62</v>
      </c>
      <c r="H192" s="2">
        <v>46159</v>
      </c>
      <c r="I192" s="2">
        <v>46161</v>
      </c>
    </row>
    <row r="193" spans="1:9" x14ac:dyDescent="0.35">
      <c r="A193" t="s">
        <v>219</v>
      </c>
      <c r="B193" s="2">
        <v>46136</v>
      </c>
      <c r="C193" t="s">
        <v>34</v>
      </c>
      <c r="D193" t="s">
        <v>35</v>
      </c>
      <c r="E193" t="s">
        <v>46</v>
      </c>
      <c r="F193">
        <v>1</v>
      </c>
      <c r="G193" t="s">
        <v>13</v>
      </c>
      <c r="H193" s="2">
        <v>46138</v>
      </c>
      <c r="I193" s="2">
        <v>46138</v>
      </c>
    </row>
    <row r="194" spans="1:9" x14ac:dyDescent="0.35">
      <c r="A194" t="s">
        <v>220</v>
      </c>
      <c r="B194" s="2">
        <v>46191</v>
      </c>
      <c r="C194" t="s">
        <v>19</v>
      </c>
      <c r="D194" t="s">
        <v>20</v>
      </c>
      <c r="E194" t="s">
        <v>12</v>
      </c>
      <c r="F194">
        <v>13</v>
      </c>
      <c r="G194" t="s">
        <v>26</v>
      </c>
      <c r="H194" s="2">
        <v>46195</v>
      </c>
    </row>
    <row r="195" spans="1:9" x14ac:dyDescent="0.35">
      <c r="A195" t="s">
        <v>221</v>
      </c>
      <c r="B195" s="2">
        <v>46171</v>
      </c>
      <c r="C195" t="s">
        <v>15</v>
      </c>
      <c r="D195" t="s">
        <v>16</v>
      </c>
      <c r="E195" t="s">
        <v>46</v>
      </c>
      <c r="F195">
        <v>26</v>
      </c>
      <c r="G195" t="s">
        <v>13</v>
      </c>
      <c r="H195" s="2">
        <v>46172</v>
      </c>
      <c r="I195" s="2">
        <v>46171</v>
      </c>
    </row>
    <row r="196" spans="1:9" x14ac:dyDescent="0.35">
      <c r="A196" t="s">
        <v>222</v>
      </c>
      <c r="B196" s="2">
        <v>46144</v>
      </c>
      <c r="C196" t="s">
        <v>19</v>
      </c>
      <c r="D196" t="s">
        <v>20</v>
      </c>
      <c r="E196" t="s">
        <v>55</v>
      </c>
      <c r="F196">
        <v>7</v>
      </c>
      <c r="G196" t="s">
        <v>13</v>
      </c>
      <c r="H196" s="2">
        <v>46146</v>
      </c>
      <c r="I196" s="2">
        <v>46146</v>
      </c>
    </row>
    <row r="197" spans="1:9" x14ac:dyDescent="0.35">
      <c r="A197" t="s">
        <v>223</v>
      </c>
      <c r="B197" s="2">
        <v>46200</v>
      </c>
      <c r="C197" t="s">
        <v>19</v>
      </c>
      <c r="D197" t="s">
        <v>20</v>
      </c>
      <c r="E197" t="s">
        <v>24</v>
      </c>
      <c r="F197">
        <v>28</v>
      </c>
      <c r="G197" t="s">
        <v>13</v>
      </c>
      <c r="H197" s="2">
        <v>46201</v>
      </c>
      <c r="I197" s="2">
        <v>46201</v>
      </c>
    </row>
    <row r="198" spans="1:9" x14ac:dyDescent="0.35">
      <c r="A198" t="s">
        <v>224</v>
      </c>
      <c r="B198" s="2">
        <v>46164</v>
      </c>
      <c r="C198" t="s">
        <v>15</v>
      </c>
      <c r="D198" t="s">
        <v>16</v>
      </c>
      <c r="E198" t="s">
        <v>22</v>
      </c>
      <c r="F198">
        <v>26</v>
      </c>
      <c r="G198" t="s">
        <v>13</v>
      </c>
      <c r="H198" s="2">
        <v>46166</v>
      </c>
      <c r="I198" s="2">
        <v>46166</v>
      </c>
    </row>
    <row r="199" spans="1:9" x14ac:dyDescent="0.35">
      <c r="A199" t="s">
        <v>225</v>
      </c>
      <c r="B199" s="2">
        <v>46174</v>
      </c>
      <c r="C199" t="s">
        <v>10</v>
      </c>
      <c r="D199" t="s">
        <v>11</v>
      </c>
      <c r="E199" t="s">
        <v>43</v>
      </c>
      <c r="F199">
        <v>5</v>
      </c>
      <c r="G199" t="s">
        <v>13</v>
      </c>
      <c r="H199" s="2">
        <v>46176</v>
      </c>
      <c r="I199" s="2">
        <v>46176</v>
      </c>
    </row>
    <row r="200" spans="1:9" x14ac:dyDescent="0.35">
      <c r="A200" t="s">
        <v>226</v>
      </c>
      <c r="B200" s="2">
        <v>46170</v>
      </c>
      <c r="C200" t="s">
        <v>19</v>
      </c>
      <c r="D200" t="s">
        <v>20</v>
      </c>
      <c r="E200" t="s">
        <v>22</v>
      </c>
      <c r="F200">
        <v>8</v>
      </c>
      <c r="G200" t="s">
        <v>13</v>
      </c>
      <c r="H200" s="2">
        <v>46171</v>
      </c>
      <c r="I200" s="2">
        <v>46170</v>
      </c>
    </row>
    <row r="201" spans="1:9" x14ac:dyDescent="0.35">
      <c r="A201" t="s">
        <v>227</v>
      </c>
      <c r="B201" s="2">
        <v>46164</v>
      </c>
      <c r="C201" t="s">
        <v>34</v>
      </c>
      <c r="D201" t="s">
        <v>35</v>
      </c>
      <c r="E201" t="s">
        <v>43</v>
      </c>
      <c r="F201">
        <v>25</v>
      </c>
      <c r="G201" t="s">
        <v>13</v>
      </c>
      <c r="H201" s="2">
        <v>46168</v>
      </c>
      <c r="I201" s="2">
        <v>46168</v>
      </c>
    </row>
    <row r="202" spans="1:9" x14ac:dyDescent="0.35">
      <c r="A202" t="s">
        <v>228</v>
      </c>
      <c r="B202" s="2">
        <v>46124</v>
      </c>
      <c r="C202" t="s">
        <v>15</v>
      </c>
      <c r="D202" t="s">
        <v>16</v>
      </c>
      <c r="E202" t="s">
        <v>24</v>
      </c>
      <c r="F202">
        <v>27</v>
      </c>
      <c r="G202" t="s">
        <v>62</v>
      </c>
      <c r="H202" s="2">
        <v>46128</v>
      </c>
      <c r="I202" s="2">
        <v>46131</v>
      </c>
    </row>
    <row r="203" spans="1:9" x14ac:dyDescent="0.35">
      <c r="A203" t="s">
        <v>229</v>
      </c>
      <c r="B203" s="2">
        <v>46151</v>
      </c>
      <c r="C203" t="s">
        <v>34</v>
      </c>
      <c r="D203" t="s">
        <v>35</v>
      </c>
      <c r="E203" t="s">
        <v>24</v>
      </c>
      <c r="F203">
        <v>14</v>
      </c>
      <c r="G203" t="s">
        <v>13</v>
      </c>
      <c r="H203" s="2">
        <v>46154</v>
      </c>
      <c r="I203" s="2">
        <v>46153</v>
      </c>
    </row>
    <row r="204" spans="1:9" x14ac:dyDescent="0.35">
      <c r="A204" t="s">
        <v>230</v>
      </c>
      <c r="B204" s="2">
        <v>46114</v>
      </c>
      <c r="C204" t="s">
        <v>34</v>
      </c>
      <c r="D204" t="s">
        <v>35</v>
      </c>
      <c r="E204" t="s">
        <v>24</v>
      </c>
      <c r="F204">
        <v>23</v>
      </c>
      <c r="G204" t="s">
        <v>13</v>
      </c>
      <c r="H204" s="2">
        <v>46116</v>
      </c>
      <c r="I204" s="2">
        <v>46115</v>
      </c>
    </row>
    <row r="205" spans="1:9" x14ac:dyDescent="0.35">
      <c r="A205" t="s">
        <v>231</v>
      </c>
      <c r="B205" s="2">
        <v>46115</v>
      </c>
      <c r="C205" t="s">
        <v>10</v>
      </c>
      <c r="D205" t="s">
        <v>11</v>
      </c>
      <c r="E205" t="s">
        <v>46</v>
      </c>
      <c r="F205">
        <v>30</v>
      </c>
      <c r="G205" t="s">
        <v>13</v>
      </c>
      <c r="H205" s="2">
        <v>46118</v>
      </c>
      <c r="I205" s="2">
        <v>46118</v>
      </c>
    </row>
    <row r="206" spans="1:9" x14ac:dyDescent="0.35">
      <c r="A206" t="s">
        <v>232</v>
      </c>
      <c r="B206" s="2">
        <v>46168</v>
      </c>
      <c r="C206" t="s">
        <v>10</v>
      </c>
      <c r="D206" t="s">
        <v>11</v>
      </c>
      <c r="E206" t="s">
        <v>12</v>
      </c>
      <c r="F206">
        <v>13</v>
      </c>
      <c r="G206" t="s">
        <v>13</v>
      </c>
      <c r="H206" s="2">
        <v>46171</v>
      </c>
      <c r="I206" s="2">
        <v>46171</v>
      </c>
    </row>
    <row r="207" spans="1:9" x14ac:dyDescent="0.35">
      <c r="A207" t="s">
        <v>233</v>
      </c>
      <c r="B207" s="2">
        <v>46193</v>
      </c>
      <c r="C207" t="s">
        <v>34</v>
      </c>
      <c r="D207" t="s">
        <v>35</v>
      </c>
      <c r="E207" t="s">
        <v>43</v>
      </c>
      <c r="F207">
        <v>15</v>
      </c>
      <c r="G207" t="s">
        <v>13</v>
      </c>
      <c r="H207" s="2">
        <v>46194</v>
      </c>
      <c r="I207" s="2">
        <v>46193</v>
      </c>
    </row>
    <row r="208" spans="1:9" x14ac:dyDescent="0.35">
      <c r="A208" t="s">
        <v>234</v>
      </c>
      <c r="B208" s="2">
        <v>46171</v>
      </c>
      <c r="C208" t="s">
        <v>15</v>
      </c>
      <c r="D208" t="s">
        <v>16</v>
      </c>
      <c r="E208" t="s">
        <v>12</v>
      </c>
      <c r="F208">
        <v>23</v>
      </c>
      <c r="G208" t="s">
        <v>13</v>
      </c>
      <c r="H208" s="2">
        <v>46172</v>
      </c>
      <c r="I208" s="2">
        <v>46171</v>
      </c>
    </row>
    <row r="209" spans="1:9" x14ac:dyDescent="0.35">
      <c r="A209" t="s">
        <v>235</v>
      </c>
      <c r="B209" s="2">
        <v>46114</v>
      </c>
      <c r="C209" t="s">
        <v>10</v>
      </c>
      <c r="D209" t="s">
        <v>11</v>
      </c>
      <c r="E209" t="s">
        <v>46</v>
      </c>
      <c r="F209">
        <v>17</v>
      </c>
      <c r="G209" t="s">
        <v>13</v>
      </c>
      <c r="H209" s="2">
        <v>46115</v>
      </c>
      <c r="I209" s="2">
        <v>46114</v>
      </c>
    </row>
    <row r="210" spans="1:9" x14ac:dyDescent="0.35">
      <c r="A210" t="s">
        <v>236</v>
      </c>
      <c r="B210" s="2">
        <v>46114</v>
      </c>
      <c r="C210" t="s">
        <v>34</v>
      </c>
      <c r="D210" t="s">
        <v>35</v>
      </c>
      <c r="E210" t="s">
        <v>46</v>
      </c>
      <c r="F210">
        <v>15</v>
      </c>
      <c r="G210" t="s">
        <v>13</v>
      </c>
      <c r="H210" s="2">
        <v>46116</v>
      </c>
      <c r="I210" s="2">
        <v>46116</v>
      </c>
    </row>
    <row r="211" spans="1:9" x14ac:dyDescent="0.35">
      <c r="A211" t="s">
        <v>237</v>
      </c>
      <c r="B211" s="2">
        <v>46166</v>
      </c>
      <c r="C211" t="s">
        <v>15</v>
      </c>
      <c r="D211" t="s">
        <v>16</v>
      </c>
      <c r="E211" t="s">
        <v>32</v>
      </c>
      <c r="F211">
        <v>20</v>
      </c>
      <c r="G211" t="s">
        <v>13</v>
      </c>
      <c r="H211" s="2">
        <v>46167</v>
      </c>
      <c r="I211" s="2">
        <v>46167</v>
      </c>
    </row>
    <row r="212" spans="1:9" x14ac:dyDescent="0.35">
      <c r="A212" t="s">
        <v>238</v>
      </c>
      <c r="B212" s="2">
        <v>46199</v>
      </c>
      <c r="C212" t="s">
        <v>19</v>
      </c>
      <c r="D212" t="s">
        <v>20</v>
      </c>
      <c r="E212" t="s">
        <v>22</v>
      </c>
      <c r="F212">
        <v>18</v>
      </c>
      <c r="G212" t="s">
        <v>13</v>
      </c>
      <c r="H212" s="2">
        <v>46200</v>
      </c>
      <c r="I212" s="2">
        <v>46200</v>
      </c>
    </row>
    <row r="213" spans="1:9" x14ac:dyDescent="0.35">
      <c r="A213" t="s">
        <v>239</v>
      </c>
      <c r="B213" s="2">
        <v>46113</v>
      </c>
      <c r="C213" t="s">
        <v>10</v>
      </c>
      <c r="D213" t="s">
        <v>11</v>
      </c>
      <c r="E213" t="s">
        <v>22</v>
      </c>
      <c r="F213">
        <v>18</v>
      </c>
      <c r="G213" t="s">
        <v>13</v>
      </c>
      <c r="H213" s="2">
        <v>46115</v>
      </c>
      <c r="I213" s="2">
        <v>46114</v>
      </c>
    </row>
    <row r="214" spans="1:9" x14ac:dyDescent="0.35">
      <c r="A214" t="s">
        <v>240</v>
      </c>
      <c r="B214" s="2">
        <v>46131</v>
      </c>
      <c r="C214" t="s">
        <v>10</v>
      </c>
      <c r="D214" t="s">
        <v>11</v>
      </c>
      <c r="E214" t="s">
        <v>55</v>
      </c>
      <c r="F214">
        <v>2</v>
      </c>
      <c r="G214" t="s">
        <v>13</v>
      </c>
      <c r="H214" s="2">
        <v>46133</v>
      </c>
      <c r="I214" s="2">
        <v>46132</v>
      </c>
    </row>
    <row r="215" spans="1:9" x14ac:dyDescent="0.35">
      <c r="A215" t="s">
        <v>241</v>
      </c>
      <c r="B215" s="2">
        <v>46114</v>
      </c>
      <c r="C215" t="s">
        <v>19</v>
      </c>
      <c r="D215" t="s">
        <v>20</v>
      </c>
      <c r="E215" t="s">
        <v>17</v>
      </c>
      <c r="F215">
        <v>4</v>
      </c>
      <c r="G215" t="s">
        <v>13</v>
      </c>
      <c r="H215" s="2">
        <v>46118</v>
      </c>
      <c r="I215" s="2">
        <v>46117</v>
      </c>
    </row>
    <row r="216" spans="1:9" x14ac:dyDescent="0.35">
      <c r="A216" t="s">
        <v>242</v>
      </c>
      <c r="B216" s="2">
        <v>46165</v>
      </c>
      <c r="C216" t="s">
        <v>34</v>
      </c>
      <c r="D216" t="s">
        <v>35</v>
      </c>
      <c r="E216" t="s">
        <v>46</v>
      </c>
      <c r="F216">
        <v>30</v>
      </c>
      <c r="G216" t="s">
        <v>26</v>
      </c>
      <c r="H216" s="2">
        <v>46166</v>
      </c>
    </row>
    <row r="217" spans="1:9" x14ac:dyDescent="0.35">
      <c r="A217" t="s">
        <v>243</v>
      </c>
      <c r="B217" s="2">
        <v>46156</v>
      </c>
      <c r="C217" t="s">
        <v>19</v>
      </c>
      <c r="D217" t="s">
        <v>20</v>
      </c>
      <c r="E217" t="s">
        <v>43</v>
      </c>
      <c r="F217">
        <v>1</v>
      </c>
      <c r="G217" t="s">
        <v>13</v>
      </c>
      <c r="H217" s="2">
        <v>46157</v>
      </c>
      <c r="I217" s="2">
        <v>46157</v>
      </c>
    </row>
    <row r="218" spans="1:9" x14ac:dyDescent="0.35">
      <c r="A218" t="s">
        <v>244</v>
      </c>
      <c r="B218" s="2">
        <v>46202</v>
      </c>
      <c r="C218" t="s">
        <v>34</v>
      </c>
      <c r="D218" t="s">
        <v>35</v>
      </c>
      <c r="E218" t="s">
        <v>32</v>
      </c>
      <c r="F218">
        <v>4</v>
      </c>
      <c r="G218" t="s">
        <v>13</v>
      </c>
      <c r="H218" s="2">
        <v>46203</v>
      </c>
      <c r="I218" s="2">
        <v>46202</v>
      </c>
    </row>
    <row r="219" spans="1:9" x14ac:dyDescent="0.35">
      <c r="A219" t="s">
        <v>245</v>
      </c>
      <c r="B219" s="2">
        <v>46144</v>
      </c>
      <c r="C219" t="s">
        <v>15</v>
      </c>
      <c r="D219" t="s">
        <v>16</v>
      </c>
      <c r="E219" t="s">
        <v>32</v>
      </c>
      <c r="F219">
        <v>18</v>
      </c>
      <c r="G219" t="s">
        <v>26</v>
      </c>
      <c r="H219" s="2">
        <v>46148</v>
      </c>
    </row>
    <row r="220" spans="1:9" x14ac:dyDescent="0.35">
      <c r="A220" t="s">
        <v>246</v>
      </c>
      <c r="B220" s="2">
        <v>46182</v>
      </c>
      <c r="C220" t="s">
        <v>34</v>
      </c>
      <c r="D220" t="s">
        <v>35</v>
      </c>
      <c r="E220" t="s">
        <v>17</v>
      </c>
      <c r="F220">
        <v>5</v>
      </c>
      <c r="G220" t="s">
        <v>13</v>
      </c>
      <c r="H220" s="2">
        <v>46183</v>
      </c>
      <c r="I220" s="2">
        <v>46183</v>
      </c>
    </row>
    <row r="221" spans="1:9" x14ac:dyDescent="0.35">
      <c r="A221" t="s">
        <v>247</v>
      </c>
      <c r="B221" s="2">
        <v>46144</v>
      </c>
      <c r="C221" t="s">
        <v>34</v>
      </c>
      <c r="D221" t="s">
        <v>35</v>
      </c>
      <c r="E221" t="s">
        <v>12</v>
      </c>
      <c r="F221">
        <v>19</v>
      </c>
      <c r="G221" t="s">
        <v>13</v>
      </c>
      <c r="H221" s="2">
        <v>46148</v>
      </c>
      <c r="I221" s="2">
        <v>46147</v>
      </c>
    </row>
    <row r="222" spans="1:9" x14ac:dyDescent="0.35">
      <c r="A222" t="s">
        <v>248</v>
      </c>
      <c r="B222" s="2">
        <v>46180</v>
      </c>
      <c r="C222" t="s">
        <v>10</v>
      </c>
      <c r="D222" t="s">
        <v>11</v>
      </c>
      <c r="E222" t="s">
        <v>17</v>
      </c>
      <c r="F222">
        <v>15</v>
      </c>
      <c r="G222" t="s">
        <v>26</v>
      </c>
      <c r="H222" s="2">
        <v>46183</v>
      </c>
    </row>
    <row r="223" spans="1:9" x14ac:dyDescent="0.35">
      <c r="A223" t="s">
        <v>249</v>
      </c>
      <c r="B223" s="2">
        <v>46167</v>
      </c>
      <c r="C223" t="s">
        <v>15</v>
      </c>
      <c r="D223" t="s">
        <v>16</v>
      </c>
      <c r="E223" t="s">
        <v>17</v>
      </c>
      <c r="F223">
        <v>28</v>
      </c>
      <c r="G223" t="s">
        <v>26</v>
      </c>
      <c r="H223" s="2">
        <v>46171</v>
      </c>
    </row>
    <row r="224" spans="1:9" x14ac:dyDescent="0.35">
      <c r="A224" t="s">
        <v>250</v>
      </c>
      <c r="B224" s="2">
        <v>46187</v>
      </c>
      <c r="C224" t="s">
        <v>15</v>
      </c>
      <c r="D224" t="s">
        <v>16</v>
      </c>
      <c r="E224" t="s">
        <v>17</v>
      </c>
      <c r="F224">
        <v>8</v>
      </c>
      <c r="G224" t="s">
        <v>62</v>
      </c>
      <c r="H224" s="2">
        <v>46190</v>
      </c>
      <c r="I224" s="2">
        <v>46193</v>
      </c>
    </row>
    <row r="225" spans="1:9" x14ac:dyDescent="0.35">
      <c r="A225" t="s">
        <v>251</v>
      </c>
      <c r="B225" s="2">
        <v>46168</v>
      </c>
      <c r="C225" t="s">
        <v>15</v>
      </c>
      <c r="D225" t="s">
        <v>16</v>
      </c>
      <c r="E225" t="s">
        <v>22</v>
      </c>
      <c r="F225">
        <v>20</v>
      </c>
      <c r="G225" t="s">
        <v>13</v>
      </c>
      <c r="H225" s="2">
        <v>46169</v>
      </c>
      <c r="I225" s="2">
        <v>46169</v>
      </c>
    </row>
    <row r="226" spans="1:9" x14ac:dyDescent="0.35">
      <c r="A226" t="s">
        <v>252</v>
      </c>
      <c r="B226" s="2">
        <v>46129</v>
      </c>
      <c r="C226" t="s">
        <v>15</v>
      </c>
      <c r="D226" t="s">
        <v>16</v>
      </c>
      <c r="E226" t="s">
        <v>46</v>
      </c>
      <c r="F226">
        <v>17</v>
      </c>
      <c r="G226" t="s">
        <v>13</v>
      </c>
      <c r="H226" s="2">
        <v>46132</v>
      </c>
      <c r="I226" s="2">
        <v>46131</v>
      </c>
    </row>
    <row r="227" spans="1:9" x14ac:dyDescent="0.35">
      <c r="A227" t="s">
        <v>253</v>
      </c>
      <c r="B227" s="2">
        <v>46150</v>
      </c>
      <c r="C227" t="s">
        <v>10</v>
      </c>
      <c r="D227" t="s">
        <v>11</v>
      </c>
      <c r="E227" t="s">
        <v>55</v>
      </c>
      <c r="F227">
        <v>1</v>
      </c>
      <c r="G227" t="s">
        <v>13</v>
      </c>
      <c r="H227" s="2">
        <v>46154</v>
      </c>
      <c r="I227" s="2">
        <v>46154</v>
      </c>
    </row>
    <row r="228" spans="1:9" x14ac:dyDescent="0.35">
      <c r="A228" t="s">
        <v>254</v>
      </c>
      <c r="B228" s="2">
        <v>46136</v>
      </c>
      <c r="C228" t="s">
        <v>15</v>
      </c>
      <c r="D228" t="s">
        <v>16</v>
      </c>
      <c r="E228" t="s">
        <v>46</v>
      </c>
      <c r="F228">
        <v>12</v>
      </c>
      <c r="G228" t="s">
        <v>13</v>
      </c>
      <c r="H228" s="2">
        <v>46138</v>
      </c>
      <c r="I228" s="2">
        <v>46137</v>
      </c>
    </row>
    <row r="229" spans="1:9" x14ac:dyDescent="0.35">
      <c r="A229" t="s">
        <v>255</v>
      </c>
      <c r="B229" s="2">
        <v>46181</v>
      </c>
      <c r="C229" t="s">
        <v>10</v>
      </c>
      <c r="D229" t="s">
        <v>11</v>
      </c>
      <c r="E229" t="s">
        <v>12</v>
      </c>
      <c r="F229">
        <v>26</v>
      </c>
      <c r="G229" t="s">
        <v>13</v>
      </c>
      <c r="H229" s="2">
        <v>46184</v>
      </c>
      <c r="I229" s="2">
        <v>46184</v>
      </c>
    </row>
    <row r="230" spans="1:9" x14ac:dyDescent="0.35">
      <c r="A230" t="s">
        <v>256</v>
      </c>
      <c r="B230" s="2">
        <v>46182</v>
      </c>
      <c r="C230" t="s">
        <v>34</v>
      </c>
      <c r="D230" t="s">
        <v>35</v>
      </c>
      <c r="E230" t="s">
        <v>24</v>
      </c>
      <c r="F230">
        <v>19</v>
      </c>
      <c r="G230" t="s">
        <v>13</v>
      </c>
      <c r="H230" s="2">
        <v>46185</v>
      </c>
      <c r="I230" s="2">
        <v>46184</v>
      </c>
    </row>
    <row r="231" spans="1:9" x14ac:dyDescent="0.35">
      <c r="A231" t="s">
        <v>257</v>
      </c>
      <c r="B231" s="2">
        <v>46198</v>
      </c>
      <c r="C231" t="s">
        <v>10</v>
      </c>
      <c r="D231" t="s">
        <v>11</v>
      </c>
      <c r="E231" t="s">
        <v>17</v>
      </c>
      <c r="F231">
        <v>15</v>
      </c>
      <c r="G231" t="s">
        <v>62</v>
      </c>
      <c r="H231" s="2">
        <v>46199</v>
      </c>
      <c r="I231" s="2">
        <v>46203</v>
      </c>
    </row>
    <row r="232" spans="1:9" x14ac:dyDescent="0.35">
      <c r="A232" t="s">
        <v>258</v>
      </c>
      <c r="B232" s="2">
        <v>46123</v>
      </c>
      <c r="C232" t="s">
        <v>19</v>
      </c>
      <c r="D232" t="s">
        <v>20</v>
      </c>
      <c r="E232" t="s">
        <v>46</v>
      </c>
      <c r="F232">
        <v>9</v>
      </c>
      <c r="G232" t="s">
        <v>13</v>
      </c>
      <c r="H232" s="2">
        <v>46127</v>
      </c>
      <c r="I232" s="2">
        <v>46127</v>
      </c>
    </row>
    <row r="233" spans="1:9" x14ac:dyDescent="0.35">
      <c r="A233" t="s">
        <v>259</v>
      </c>
      <c r="B233" s="2">
        <v>46128</v>
      </c>
      <c r="C233" t="s">
        <v>34</v>
      </c>
      <c r="D233" t="s">
        <v>35</v>
      </c>
      <c r="E233" t="s">
        <v>12</v>
      </c>
      <c r="F233">
        <v>7</v>
      </c>
      <c r="G233" t="s">
        <v>13</v>
      </c>
      <c r="H233" s="2">
        <v>46131</v>
      </c>
      <c r="I233" s="2">
        <v>46130</v>
      </c>
    </row>
    <row r="234" spans="1:9" x14ac:dyDescent="0.35">
      <c r="A234" t="s">
        <v>260</v>
      </c>
      <c r="B234" s="2">
        <v>46185</v>
      </c>
      <c r="C234" t="s">
        <v>19</v>
      </c>
      <c r="D234" t="s">
        <v>20</v>
      </c>
      <c r="E234" t="s">
        <v>24</v>
      </c>
      <c r="F234">
        <v>2</v>
      </c>
      <c r="G234" t="s">
        <v>13</v>
      </c>
      <c r="H234" s="2">
        <v>46188</v>
      </c>
      <c r="I234" s="2">
        <v>46188</v>
      </c>
    </row>
    <row r="235" spans="1:9" x14ac:dyDescent="0.35">
      <c r="A235" t="s">
        <v>261</v>
      </c>
      <c r="B235" s="2">
        <v>46171</v>
      </c>
      <c r="C235" t="s">
        <v>34</v>
      </c>
      <c r="D235" t="s">
        <v>35</v>
      </c>
      <c r="E235" t="s">
        <v>24</v>
      </c>
      <c r="F235">
        <v>29</v>
      </c>
      <c r="G235" t="s">
        <v>13</v>
      </c>
      <c r="H235" s="2">
        <v>46174</v>
      </c>
      <c r="I235" s="2">
        <v>46173</v>
      </c>
    </row>
    <row r="236" spans="1:9" x14ac:dyDescent="0.35">
      <c r="A236" t="s">
        <v>262</v>
      </c>
      <c r="B236" s="2">
        <v>46182</v>
      </c>
      <c r="C236" t="s">
        <v>34</v>
      </c>
      <c r="D236" t="s">
        <v>35</v>
      </c>
      <c r="E236" t="s">
        <v>17</v>
      </c>
      <c r="F236">
        <v>9</v>
      </c>
      <c r="G236" t="s">
        <v>13</v>
      </c>
      <c r="H236" s="2">
        <v>46185</v>
      </c>
      <c r="I236" s="2">
        <v>46184</v>
      </c>
    </row>
    <row r="237" spans="1:9" x14ac:dyDescent="0.35">
      <c r="A237" t="s">
        <v>263</v>
      </c>
      <c r="B237" s="2">
        <v>46192</v>
      </c>
      <c r="C237" t="s">
        <v>19</v>
      </c>
      <c r="D237" t="s">
        <v>20</v>
      </c>
      <c r="E237" t="s">
        <v>55</v>
      </c>
      <c r="F237">
        <v>10</v>
      </c>
      <c r="G237" t="s">
        <v>13</v>
      </c>
      <c r="H237" s="2">
        <v>46194</v>
      </c>
      <c r="I237" s="2">
        <v>46193</v>
      </c>
    </row>
    <row r="238" spans="1:9" x14ac:dyDescent="0.35">
      <c r="A238" t="s">
        <v>264</v>
      </c>
      <c r="B238" s="2">
        <v>46115</v>
      </c>
      <c r="C238" t="s">
        <v>15</v>
      </c>
      <c r="D238" t="s">
        <v>16</v>
      </c>
      <c r="E238" t="s">
        <v>43</v>
      </c>
      <c r="F238">
        <v>2</v>
      </c>
      <c r="G238" t="s">
        <v>13</v>
      </c>
      <c r="H238" s="2">
        <v>46119</v>
      </c>
      <c r="I238" s="2">
        <v>46118</v>
      </c>
    </row>
    <row r="239" spans="1:9" x14ac:dyDescent="0.35">
      <c r="A239" t="s">
        <v>265</v>
      </c>
      <c r="B239" s="2">
        <v>46132</v>
      </c>
      <c r="C239" t="s">
        <v>15</v>
      </c>
      <c r="D239" t="s">
        <v>16</v>
      </c>
      <c r="E239" t="s">
        <v>22</v>
      </c>
      <c r="F239">
        <v>19</v>
      </c>
      <c r="G239" t="s">
        <v>13</v>
      </c>
      <c r="H239" s="2">
        <v>46133</v>
      </c>
      <c r="I239" s="2">
        <v>46133</v>
      </c>
    </row>
    <row r="240" spans="1:9" x14ac:dyDescent="0.35">
      <c r="A240" t="s">
        <v>266</v>
      </c>
      <c r="B240" s="2">
        <v>46171</v>
      </c>
      <c r="C240" t="s">
        <v>19</v>
      </c>
      <c r="D240" t="s">
        <v>20</v>
      </c>
      <c r="E240" t="s">
        <v>46</v>
      </c>
      <c r="F240">
        <v>11</v>
      </c>
      <c r="G240" t="s">
        <v>26</v>
      </c>
      <c r="H240" s="2">
        <v>46172</v>
      </c>
    </row>
    <row r="241" spans="1:9" x14ac:dyDescent="0.35">
      <c r="A241" t="s">
        <v>267</v>
      </c>
      <c r="B241" s="2">
        <v>46148</v>
      </c>
      <c r="C241" t="s">
        <v>15</v>
      </c>
      <c r="D241" t="s">
        <v>16</v>
      </c>
      <c r="E241" t="s">
        <v>24</v>
      </c>
      <c r="F241">
        <v>13</v>
      </c>
      <c r="G241" t="s">
        <v>26</v>
      </c>
      <c r="H241" s="2">
        <v>46150</v>
      </c>
    </row>
    <row r="242" spans="1:9" x14ac:dyDescent="0.35">
      <c r="A242" t="s">
        <v>268</v>
      </c>
      <c r="B242" s="2">
        <v>46131</v>
      </c>
      <c r="C242" t="s">
        <v>19</v>
      </c>
      <c r="D242" t="s">
        <v>20</v>
      </c>
      <c r="E242" t="s">
        <v>46</v>
      </c>
      <c r="F242">
        <v>10</v>
      </c>
      <c r="G242" t="s">
        <v>13</v>
      </c>
      <c r="H242" s="2">
        <v>46135</v>
      </c>
      <c r="I242" s="2">
        <v>46134</v>
      </c>
    </row>
    <row r="243" spans="1:9" x14ac:dyDescent="0.35">
      <c r="A243" t="s">
        <v>269</v>
      </c>
      <c r="B243" s="2">
        <v>46202</v>
      </c>
      <c r="C243" t="s">
        <v>34</v>
      </c>
      <c r="D243" t="s">
        <v>35</v>
      </c>
      <c r="E243" t="s">
        <v>43</v>
      </c>
      <c r="F243">
        <v>14</v>
      </c>
      <c r="G243" t="s">
        <v>13</v>
      </c>
      <c r="H243" s="2">
        <v>46205</v>
      </c>
      <c r="I243" s="2">
        <v>46204</v>
      </c>
    </row>
    <row r="244" spans="1:9" x14ac:dyDescent="0.35">
      <c r="A244" t="s">
        <v>270</v>
      </c>
      <c r="B244" s="2">
        <v>46179</v>
      </c>
      <c r="C244" t="s">
        <v>19</v>
      </c>
      <c r="D244" t="s">
        <v>20</v>
      </c>
      <c r="E244" t="s">
        <v>22</v>
      </c>
      <c r="F244">
        <v>18</v>
      </c>
      <c r="G244" t="s">
        <v>26</v>
      </c>
      <c r="H244" s="2">
        <v>46181</v>
      </c>
    </row>
    <row r="245" spans="1:9" x14ac:dyDescent="0.35">
      <c r="A245" t="s">
        <v>271</v>
      </c>
      <c r="B245" s="2">
        <v>46131</v>
      </c>
      <c r="C245" t="s">
        <v>10</v>
      </c>
      <c r="D245" t="s">
        <v>11</v>
      </c>
      <c r="E245" t="s">
        <v>43</v>
      </c>
      <c r="F245">
        <v>19</v>
      </c>
      <c r="G245" t="s">
        <v>26</v>
      </c>
      <c r="H245" s="2">
        <v>46135</v>
      </c>
    </row>
    <row r="246" spans="1:9" x14ac:dyDescent="0.35">
      <c r="A246" t="s">
        <v>272</v>
      </c>
      <c r="B246" s="2">
        <v>46132</v>
      </c>
      <c r="C246" t="s">
        <v>10</v>
      </c>
      <c r="D246" t="s">
        <v>11</v>
      </c>
      <c r="E246" t="s">
        <v>22</v>
      </c>
      <c r="F246">
        <v>22</v>
      </c>
      <c r="G246" t="s">
        <v>13</v>
      </c>
      <c r="H246" s="2">
        <v>46135</v>
      </c>
      <c r="I246" s="2">
        <v>46135</v>
      </c>
    </row>
    <row r="247" spans="1:9" x14ac:dyDescent="0.35">
      <c r="A247" t="s">
        <v>273</v>
      </c>
      <c r="B247" s="2">
        <v>46183</v>
      </c>
      <c r="C247" t="s">
        <v>19</v>
      </c>
      <c r="D247" t="s">
        <v>20</v>
      </c>
      <c r="E247" t="s">
        <v>32</v>
      </c>
      <c r="F247">
        <v>9</v>
      </c>
      <c r="G247" t="s">
        <v>26</v>
      </c>
      <c r="H247" s="2">
        <v>46185</v>
      </c>
    </row>
    <row r="248" spans="1:9" x14ac:dyDescent="0.35">
      <c r="A248" t="s">
        <v>274</v>
      </c>
      <c r="B248" s="2">
        <v>46164</v>
      </c>
      <c r="C248" t="s">
        <v>34</v>
      </c>
      <c r="D248" t="s">
        <v>35</v>
      </c>
      <c r="E248" t="s">
        <v>22</v>
      </c>
      <c r="F248">
        <v>25</v>
      </c>
      <c r="G248" t="s">
        <v>13</v>
      </c>
      <c r="H248" s="2">
        <v>46168</v>
      </c>
      <c r="I248" s="2">
        <v>46168</v>
      </c>
    </row>
    <row r="249" spans="1:9" x14ac:dyDescent="0.35">
      <c r="A249" t="s">
        <v>275</v>
      </c>
      <c r="B249" s="2">
        <v>46145</v>
      </c>
      <c r="C249" t="s">
        <v>19</v>
      </c>
      <c r="D249" t="s">
        <v>20</v>
      </c>
      <c r="E249" t="s">
        <v>17</v>
      </c>
      <c r="F249">
        <v>7</v>
      </c>
      <c r="G249" t="s">
        <v>26</v>
      </c>
      <c r="H249" s="2">
        <v>46146</v>
      </c>
    </row>
    <row r="250" spans="1:9" x14ac:dyDescent="0.35">
      <c r="A250" t="s">
        <v>276</v>
      </c>
      <c r="B250" s="2">
        <v>46152</v>
      </c>
      <c r="C250" t="s">
        <v>15</v>
      </c>
      <c r="D250" t="s">
        <v>16</v>
      </c>
      <c r="E250" t="s">
        <v>55</v>
      </c>
      <c r="F250">
        <v>28</v>
      </c>
      <c r="G250" t="s">
        <v>62</v>
      </c>
      <c r="H250" s="2">
        <v>46153</v>
      </c>
      <c r="I250" s="2">
        <v>46154</v>
      </c>
    </row>
    <row r="251" spans="1:9" x14ac:dyDescent="0.35">
      <c r="A251" t="s">
        <v>277</v>
      </c>
      <c r="B251" s="2">
        <v>46151</v>
      </c>
      <c r="C251" t="s">
        <v>34</v>
      </c>
      <c r="D251" t="s">
        <v>35</v>
      </c>
      <c r="E251" t="s">
        <v>43</v>
      </c>
      <c r="F251">
        <v>3</v>
      </c>
      <c r="G251" t="s">
        <v>13</v>
      </c>
      <c r="H251" s="2">
        <v>46155</v>
      </c>
      <c r="I251" s="2">
        <v>46155</v>
      </c>
    </row>
    <row r="252" spans="1:9" x14ac:dyDescent="0.35">
      <c r="A252" t="s">
        <v>278</v>
      </c>
      <c r="B252" s="2">
        <v>46194</v>
      </c>
      <c r="C252" t="s">
        <v>15</v>
      </c>
      <c r="D252" t="s">
        <v>16</v>
      </c>
      <c r="E252" t="s">
        <v>24</v>
      </c>
      <c r="F252">
        <v>20</v>
      </c>
      <c r="G252" t="s">
        <v>26</v>
      </c>
      <c r="H252" s="2">
        <v>46195</v>
      </c>
    </row>
    <row r="253" spans="1:9" x14ac:dyDescent="0.35">
      <c r="A253" t="s">
        <v>279</v>
      </c>
      <c r="B253" s="2">
        <v>46113</v>
      </c>
      <c r="C253" t="s">
        <v>34</v>
      </c>
      <c r="D253" t="s">
        <v>35</v>
      </c>
      <c r="E253" t="s">
        <v>17</v>
      </c>
      <c r="F253">
        <v>6</v>
      </c>
      <c r="G253" t="s">
        <v>13</v>
      </c>
      <c r="H253" s="2">
        <v>46117</v>
      </c>
      <c r="I253" s="2">
        <v>46117</v>
      </c>
    </row>
    <row r="254" spans="1:9" x14ac:dyDescent="0.35">
      <c r="A254" t="s">
        <v>280</v>
      </c>
      <c r="B254" s="2">
        <v>46123</v>
      </c>
      <c r="C254" t="s">
        <v>15</v>
      </c>
      <c r="D254" t="s">
        <v>16</v>
      </c>
      <c r="E254" t="s">
        <v>32</v>
      </c>
      <c r="F254">
        <v>27</v>
      </c>
      <c r="G254" t="s">
        <v>62</v>
      </c>
      <c r="H254" s="2">
        <v>46126</v>
      </c>
      <c r="I254" s="2">
        <v>46129</v>
      </c>
    </row>
    <row r="255" spans="1:9" x14ac:dyDescent="0.35">
      <c r="A255" t="s">
        <v>281</v>
      </c>
      <c r="B255" s="2">
        <v>46169</v>
      </c>
      <c r="C255" t="s">
        <v>19</v>
      </c>
      <c r="D255" t="s">
        <v>20</v>
      </c>
      <c r="E255" t="s">
        <v>55</v>
      </c>
      <c r="F255">
        <v>21</v>
      </c>
      <c r="G255" t="s">
        <v>13</v>
      </c>
      <c r="H255" s="2">
        <v>46173</v>
      </c>
      <c r="I255" s="2">
        <v>46172</v>
      </c>
    </row>
    <row r="256" spans="1:9" x14ac:dyDescent="0.35">
      <c r="A256" t="s">
        <v>282</v>
      </c>
      <c r="B256" s="2">
        <v>46201</v>
      </c>
      <c r="C256" t="s">
        <v>19</v>
      </c>
      <c r="D256" t="s">
        <v>20</v>
      </c>
      <c r="E256" t="s">
        <v>46</v>
      </c>
      <c r="F256">
        <v>2</v>
      </c>
      <c r="G256" t="s">
        <v>26</v>
      </c>
      <c r="H256" s="2">
        <v>46204</v>
      </c>
    </row>
    <row r="257" spans="1:9" x14ac:dyDescent="0.35">
      <c r="A257" t="s">
        <v>283</v>
      </c>
      <c r="B257" s="2">
        <v>46162</v>
      </c>
      <c r="C257" t="s">
        <v>19</v>
      </c>
      <c r="D257" t="s">
        <v>20</v>
      </c>
      <c r="E257" t="s">
        <v>17</v>
      </c>
      <c r="F257">
        <v>29</v>
      </c>
      <c r="G257" t="s">
        <v>13</v>
      </c>
      <c r="H257" s="2">
        <v>46164</v>
      </c>
      <c r="I257" s="2">
        <v>46164</v>
      </c>
    </row>
    <row r="258" spans="1:9" x14ac:dyDescent="0.35">
      <c r="A258" t="s">
        <v>284</v>
      </c>
      <c r="B258" s="2">
        <v>46135</v>
      </c>
      <c r="C258" t="s">
        <v>15</v>
      </c>
      <c r="D258" t="s">
        <v>16</v>
      </c>
      <c r="E258" t="s">
        <v>43</v>
      </c>
      <c r="F258">
        <v>6</v>
      </c>
      <c r="G258" t="s">
        <v>13</v>
      </c>
      <c r="H258" s="2">
        <v>46139</v>
      </c>
      <c r="I258" s="2">
        <v>46138</v>
      </c>
    </row>
    <row r="259" spans="1:9" x14ac:dyDescent="0.35">
      <c r="A259" t="s">
        <v>285</v>
      </c>
      <c r="B259" s="2">
        <v>46143</v>
      </c>
      <c r="C259" t="s">
        <v>10</v>
      </c>
      <c r="D259" t="s">
        <v>11</v>
      </c>
      <c r="E259" t="s">
        <v>12</v>
      </c>
      <c r="F259">
        <v>3</v>
      </c>
      <c r="G259" t="s">
        <v>13</v>
      </c>
      <c r="H259" s="2">
        <v>46145</v>
      </c>
      <c r="I259" s="2">
        <v>46145</v>
      </c>
    </row>
    <row r="260" spans="1:9" x14ac:dyDescent="0.35">
      <c r="A260" t="s">
        <v>286</v>
      </c>
      <c r="B260" s="2">
        <v>46154</v>
      </c>
      <c r="C260" t="s">
        <v>34</v>
      </c>
      <c r="D260" t="s">
        <v>35</v>
      </c>
      <c r="E260" t="s">
        <v>12</v>
      </c>
      <c r="F260">
        <v>16</v>
      </c>
      <c r="G260" t="s">
        <v>62</v>
      </c>
      <c r="H260" s="2">
        <v>46155</v>
      </c>
      <c r="I260" s="2">
        <v>46159</v>
      </c>
    </row>
    <row r="261" spans="1:9" x14ac:dyDescent="0.35">
      <c r="A261" t="s">
        <v>287</v>
      </c>
      <c r="B261" s="2">
        <v>46119</v>
      </c>
      <c r="C261" t="s">
        <v>34</v>
      </c>
      <c r="D261" t="s">
        <v>35</v>
      </c>
      <c r="E261" t="s">
        <v>24</v>
      </c>
      <c r="F261">
        <v>30</v>
      </c>
      <c r="G261" t="s">
        <v>26</v>
      </c>
      <c r="H261" s="2">
        <v>46122</v>
      </c>
    </row>
    <row r="262" spans="1:9" x14ac:dyDescent="0.35">
      <c r="A262" t="s">
        <v>288</v>
      </c>
      <c r="B262" s="2">
        <v>46128</v>
      </c>
      <c r="C262" t="s">
        <v>34</v>
      </c>
      <c r="D262" t="s">
        <v>35</v>
      </c>
      <c r="E262" t="s">
        <v>22</v>
      </c>
      <c r="F262">
        <v>8</v>
      </c>
      <c r="G262" t="s">
        <v>26</v>
      </c>
      <c r="H262" s="2">
        <v>46132</v>
      </c>
    </row>
    <row r="263" spans="1:9" x14ac:dyDescent="0.35">
      <c r="A263" t="s">
        <v>289</v>
      </c>
      <c r="B263" s="2">
        <v>46202</v>
      </c>
      <c r="C263" t="s">
        <v>34</v>
      </c>
      <c r="D263" t="s">
        <v>35</v>
      </c>
      <c r="E263" t="s">
        <v>24</v>
      </c>
      <c r="F263">
        <v>2</v>
      </c>
      <c r="G263" t="s">
        <v>62</v>
      </c>
      <c r="H263" s="2">
        <v>46204</v>
      </c>
      <c r="I263" s="2">
        <v>46208</v>
      </c>
    </row>
    <row r="264" spans="1:9" x14ac:dyDescent="0.35">
      <c r="A264" t="s">
        <v>290</v>
      </c>
      <c r="B264" s="2">
        <v>46172</v>
      </c>
      <c r="C264" t="s">
        <v>10</v>
      </c>
      <c r="D264" t="s">
        <v>11</v>
      </c>
      <c r="E264" t="s">
        <v>12</v>
      </c>
      <c r="F264">
        <v>17</v>
      </c>
      <c r="G264" t="s">
        <v>13</v>
      </c>
      <c r="H264" s="2">
        <v>46175</v>
      </c>
      <c r="I264" s="2">
        <v>46174</v>
      </c>
    </row>
    <row r="265" spans="1:9" x14ac:dyDescent="0.35">
      <c r="A265" t="s">
        <v>291</v>
      </c>
      <c r="B265" s="2">
        <v>46114</v>
      </c>
      <c r="C265" t="s">
        <v>10</v>
      </c>
      <c r="D265" t="s">
        <v>11</v>
      </c>
      <c r="E265" t="s">
        <v>46</v>
      </c>
      <c r="F265">
        <v>9</v>
      </c>
      <c r="G265" t="s">
        <v>13</v>
      </c>
      <c r="H265" s="2">
        <v>46117</v>
      </c>
      <c r="I265" s="2">
        <v>46117</v>
      </c>
    </row>
    <row r="266" spans="1:9" x14ac:dyDescent="0.35">
      <c r="A266" t="s">
        <v>292</v>
      </c>
      <c r="B266" s="2">
        <v>46113</v>
      </c>
      <c r="C266" t="s">
        <v>34</v>
      </c>
      <c r="D266" t="s">
        <v>35</v>
      </c>
      <c r="E266" t="s">
        <v>32</v>
      </c>
      <c r="F266">
        <v>30</v>
      </c>
      <c r="G266" t="s">
        <v>13</v>
      </c>
      <c r="H266" s="2">
        <v>46114</v>
      </c>
      <c r="I266" s="2">
        <v>46114</v>
      </c>
    </row>
    <row r="267" spans="1:9" x14ac:dyDescent="0.35">
      <c r="A267" t="s">
        <v>293</v>
      </c>
      <c r="B267" s="2">
        <v>46160</v>
      </c>
      <c r="C267" t="s">
        <v>15</v>
      </c>
      <c r="D267" t="s">
        <v>16</v>
      </c>
      <c r="E267" t="s">
        <v>32</v>
      </c>
      <c r="F267">
        <v>12</v>
      </c>
      <c r="G267" t="s">
        <v>13</v>
      </c>
      <c r="H267" s="2">
        <v>46161</v>
      </c>
      <c r="I267" s="2">
        <v>46161</v>
      </c>
    </row>
    <row r="268" spans="1:9" x14ac:dyDescent="0.35">
      <c r="A268" t="s">
        <v>294</v>
      </c>
      <c r="B268" s="2">
        <v>46124</v>
      </c>
      <c r="C268" t="s">
        <v>15</v>
      </c>
      <c r="D268" t="s">
        <v>16</v>
      </c>
      <c r="E268" t="s">
        <v>43</v>
      </c>
      <c r="F268">
        <v>3</v>
      </c>
      <c r="G268" t="s">
        <v>13</v>
      </c>
      <c r="H268" s="2">
        <v>46127</v>
      </c>
      <c r="I268" s="2">
        <v>46127</v>
      </c>
    </row>
    <row r="269" spans="1:9" x14ac:dyDescent="0.35">
      <c r="A269" t="s">
        <v>295</v>
      </c>
      <c r="B269" s="2">
        <v>46181</v>
      </c>
      <c r="C269" t="s">
        <v>15</v>
      </c>
      <c r="D269" t="s">
        <v>16</v>
      </c>
      <c r="E269" t="s">
        <v>32</v>
      </c>
      <c r="F269">
        <v>11</v>
      </c>
      <c r="G269" t="s">
        <v>13</v>
      </c>
      <c r="H269" s="2">
        <v>46184</v>
      </c>
      <c r="I269" s="2">
        <v>46183</v>
      </c>
    </row>
    <row r="270" spans="1:9" x14ac:dyDescent="0.35">
      <c r="A270" t="s">
        <v>296</v>
      </c>
      <c r="B270" s="2">
        <v>46149</v>
      </c>
      <c r="C270" t="s">
        <v>19</v>
      </c>
      <c r="D270" t="s">
        <v>20</v>
      </c>
      <c r="E270" t="s">
        <v>43</v>
      </c>
      <c r="F270">
        <v>1</v>
      </c>
      <c r="G270" t="s">
        <v>13</v>
      </c>
      <c r="H270" s="2">
        <v>46153</v>
      </c>
      <c r="I270" s="2">
        <v>46153</v>
      </c>
    </row>
    <row r="271" spans="1:9" x14ac:dyDescent="0.35">
      <c r="A271" t="s">
        <v>297</v>
      </c>
      <c r="B271" s="2">
        <v>46144</v>
      </c>
      <c r="C271" t="s">
        <v>15</v>
      </c>
      <c r="D271" t="s">
        <v>16</v>
      </c>
      <c r="E271" t="s">
        <v>17</v>
      </c>
      <c r="F271">
        <v>23</v>
      </c>
      <c r="G271" t="s">
        <v>13</v>
      </c>
      <c r="H271" s="2">
        <v>46147</v>
      </c>
      <c r="I271" s="2">
        <v>46146</v>
      </c>
    </row>
    <row r="272" spans="1:9" x14ac:dyDescent="0.35">
      <c r="A272" t="s">
        <v>298</v>
      </c>
      <c r="B272" s="2">
        <v>46121</v>
      </c>
      <c r="C272" t="s">
        <v>15</v>
      </c>
      <c r="D272" t="s">
        <v>16</v>
      </c>
      <c r="E272" t="s">
        <v>43</v>
      </c>
      <c r="F272">
        <v>13</v>
      </c>
      <c r="G272" t="s">
        <v>13</v>
      </c>
      <c r="H272" s="2">
        <v>46125</v>
      </c>
      <c r="I272" s="2">
        <v>46124</v>
      </c>
    </row>
    <row r="273" spans="1:9" x14ac:dyDescent="0.35">
      <c r="A273" t="s">
        <v>299</v>
      </c>
      <c r="B273" s="2">
        <v>46131</v>
      </c>
      <c r="C273" t="s">
        <v>34</v>
      </c>
      <c r="D273" t="s">
        <v>35</v>
      </c>
      <c r="E273" t="s">
        <v>17</v>
      </c>
      <c r="F273">
        <v>15</v>
      </c>
      <c r="G273" t="s">
        <v>13</v>
      </c>
      <c r="H273" s="2">
        <v>46134</v>
      </c>
      <c r="I273" s="2">
        <v>46134</v>
      </c>
    </row>
    <row r="274" spans="1:9" x14ac:dyDescent="0.35">
      <c r="A274" t="s">
        <v>300</v>
      </c>
      <c r="B274" s="2">
        <v>46160</v>
      </c>
      <c r="C274" t="s">
        <v>19</v>
      </c>
      <c r="D274" t="s">
        <v>20</v>
      </c>
      <c r="E274" t="s">
        <v>43</v>
      </c>
      <c r="F274">
        <v>26</v>
      </c>
      <c r="G274" t="s">
        <v>62</v>
      </c>
      <c r="H274" s="2">
        <v>46161</v>
      </c>
      <c r="I274" s="2">
        <v>46164</v>
      </c>
    </row>
    <row r="275" spans="1:9" x14ac:dyDescent="0.35">
      <c r="A275" t="s">
        <v>301</v>
      </c>
      <c r="B275" s="2">
        <v>46192</v>
      </c>
      <c r="C275" t="s">
        <v>19</v>
      </c>
      <c r="D275" t="s">
        <v>20</v>
      </c>
      <c r="E275" t="s">
        <v>12</v>
      </c>
      <c r="F275">
        <v>5</v>
      </c>
      <c r="G275" t="s">
        <v>26</v>
      </c>
      <c r="H275" s="2">
        <v>46196</v>
      </c>
    </row>
    <row r="276" spans="1:9" x14ac:dyDescent="0.35">
      <c r="A276" t="s">
        <v>302</v>
      </c>
      <c r="B276" s="2">
        <v>46115</v>
      </c>
      <c r="C276" t="s">
        <v>19</v>
      </c>
      <c r="D276" t="s">
        <v>20</v>
      </c>
      <c r="E276" t="s">
        <v>12</v>
      </c>
      <c r="F276">
        <v>21</v>
      </c>
      <c r="G276" t="s">
        <v>62</v>
      </c>
      <c r="H276" s="2">
        <v>46117</v>
      </c>
      <c r="I276" s="2">
        <v>46118</v>
      </c>
    </row>
    <row r="277" spans="1:9" x14ac:dyDescent="0.35">
      <c r="A277" t="s">
        <v>303</v>
      </c>
      <c r="B277" s="2">
        <v>46132</v>
      </c>
      <c r="C277" t="s">
        <v>10</v>
      </c>
      <c r="D277" t="s">
        <v>11</v>
      </c>
      <c r="E277" t="s">
        <v>22</v>
      </c>
      <c r="F277">
        <v>30</v>
      </c>
      <c r="G277" t="s">
        <v>13</v>
      </c>
      <c r="H277" s="2">
        <v>46133</v>
      </c>
      <c r="I277" s="2">
        <v>46132</v>
      </c>
    </row>
    <row r="278" spans="1:9" x14ac:dyDescent="0.35">
      <c r="A278" t="s">
        <v>304</v>
      </c>
      <c r="B278" s="2">
        <v>46136</v>
      </c>
      <c r="C278" t="s">
        <v>34</v>
      </c>
      <c r="D278" t="s">
        <v>35</v>
      </c>
      <c r="E278" t="s">
        <v>17</v>
      </c>
      <c r="F278">
        <v>17</v>
      </c>
      <c r="G278" t="s">
        <v>13</v>
      </c>
      <c r="H278" s="2">
        <v>46140</v>
      </c>
      <c r="I278" s="2">
        <v>46140</v>
      </c>
    </row>
    <row r="279" spans="1:9" x14ac:dyDescent="0.35">
      <c r="A279" t="s">
        <v>305</v>
      </c>
      <c r="B279" s="2">
        <v>46166</v>
      </c>
      <c r="C279" t="s">
        <v>15</v>
      </c>
      <c r="D279" t="s">
        <v>16</v>
      </c>
      <c r="E279" t="s">
        <v>55</v>
      </c>
      <c r="F279">
        <v>25</v>
      </c>
      <c r="G279" t="s">
        <v>26</v>
      </c>
      <c r="H279" s="2">
        <v>46170</v>
      </c>
    </row>
    <row r="280" spans="1:9" x14ac:dyDescent="0.35">
      <c r="A280" t="s">
        <v>306</v>
      </c>
      <c r="B280" s="2">
        <v>46145</v>
      </c>
      <c r="C280" t="s">
        <v>19</v>
      </c>
      <c r="D280" t="s">
        <v>20</v>
      </c>
      <c r="E280" t="s">
        <v>17</v>
      </c>
      <c r="F280">
        <v>23</v>
      </c>
      <c r="G280" t="s">
        <v>13</v>
      </c>
      <c r="H280" s="2">
        <v>46147</v>
      </c>
      <c r="I280" s="2">
        <v>46146</v>
      </c>
    </row>
    <row r="281" spans="1:9" x14ac:dyDescent="0.35">
      <c r="A281" t="s">
        <v>307</v>
      </c>
      <c r="B281" s="2">
        <v>46136</v>
      </c>
      <c r="C281" t="s">
        <v>10</v>
      </c>
      <c r="D281" t="s">
        <v>11</v>
      </c>
      <c r="E281" t="s">
        <v>43</v>
      </c>
      <c r="F281">
        <v>24</v>
      </c>
      <c r="G281" t="s">
        <v>13</v>
      </c>
      <c r="H281" s="2">
        <v>46140</v>
      </c>
      <c r="I281" s="2">
        <v>46140</v>
      </c>
    </row>
    <row r="282" spans="1:9" x14ac:dyDescent="0.35">
      <c r="A282" t="s">
        <v>308</v>
      </c>
      <c r="B282" s="2">
        <v>46187</v>
      </c>
      <c r="C282" t="s">
        <v>10</v>
      </c>
      <c r="D282" t="s">
        <v>11</v>
      </c>
      <c r="E282" t="s">
        <v>43</v>
      </c>
      <c r="F282">
        <v>25</v>
      </c>
      <c r="G282" t="s">
        <v>13</v>
      </c>
      <c r="H282" s="2">
        <v>46190</v>
      </c>
      <c r="I282" s="2">
        <v>46189</v>
      </c>
    </row>
    <row r="283" spans="1:9" x14ac:dyDescent="0.35">
      <c r="A283" t="s">
        <v>309</v>
      </c>
      <c r="B283" s="2">
        <v>46184</v>
      </c>
      <c r="C283" t="s">
        <v>10</v>
      </c>
      <c r="D283" t="s">
        <v>11</v>
      </c>
      <c r="E283" t="s">
        <v>55</v>
      </c>
      <c r="F283">
        <v>6</v>
      </c>
      <c r="G283" t="s">
        <v>13</v>
      </c>
      <c r="H283" s="2">
        <v>46186</v>
      </c>
      <c r="I283" s="2">
        <v>46186</v>
      </c>
    </row>
    <row r="284" spans="1:9" x14ac:dyDescent="0.35">
      <c r="A284" t="s">
        <v>310</v>
      </c>
      <c r="B284" s="2">
        <v>46148</v>
      </c>
      <c r="C284" t="s">
        <v>10</v>
      </c>
      <c r="D284" t="s">
        <v>11</v>
      </c>
      <c r="E284" t="s">
        <v>24</v>
      </c>
      <c r="F284">
        <v>28</v>
      </c>
      <c r="G284" t="s">
        <v>13</v>
      </c>
      <c r="H284" s="2">
        <v>46149</v>
      </c>
      <c r="I284" s="2">
        <v>46149</v>
      </c>
    </row>
    <row r="285" spans="1:9" x14ac:dyDescent="0.35">
      <c r="A285" t="s">
        <v>311</v>
      </c>
      <c r="B285" s="2">
        <v>46150</v>
      </c>
      <c r="C285" t="s">
        <v>10</v>
      </c>
      <c r="D285" t="s">
        <v>11</v>
      </c>
      <c r="E285" t="s">
        <v>43</v>
      </c>
      <c r="F285">
        <v>21</v>
      </c>
      <c r="G285" t="s">
        <v>13</v>
      </c>
      <c r="H285" s="2">
        <v>46151</v>
      </c>
      <c r="I285" s="2">
        <v>46150</v>
      </c>
    </row>
    <row r="286" spans="1:9" x14ac:dyDescent="0.35">
      <c r="A286" t="s">
        <v>312</v>
      </c>
      <c r="B286" s="2">
        <v>46196</v>
      </c>
      <c r="C286" t="s">
        <v>19</v>
      </c>
      <c r="D286" t="s">
        <v>20</v>
      </c>
      <c r="E286" t="s">
        <v>22</v>
      </c>
      <c r="F286">
        <v>22</v>
      </c>
      <c r="G286" t="s">
        <v>13</v>
      </c>
      <c r="H286" s="2">
        <v>46199</v>
      </c>
      <c r="I286" s="2">
        <v>46199</v>
      </c>
    </row>
    <row r="287" spans="1:9" x14ac:dyDescent="0.35">
      <c r="A287" t="s">
        <v>313</v>
      </c>
      <c r="B287" s="2">
        <v>46201</v>
      </c>
      <c r="C287" t="s">
        <v>19</v>
      </c>
      <c r="D287" t="s">
        <v>20</v>
      </c>
      <c r="E287" t="s">
        <v>32</v>
      </c>
      <c r="F287">
        <v>11</v>
      </c>
      <c r="G287" t="s">
        <v>13</v>
      </c>
      <c r="H287" s="2">
        <v>46202</v>
      </c>
      <c r="I287" s="2">
        <v>46202</v>
      </c>
    </row>
    <row r="288" spans="1:9" x14ac:dyDescent="0.35">
      <c r="A288" t="s">
        <v>314</v>
      </c>
      <c r="B288" s="2">
        <v>46137</v>
      </c>
      <c r="C288" t="s">
        <v>10</v>
      </c>
      <c r="D288" t="s">
        <v>11</v>
      </c>
      <c r="E288" t="s">
        <v>32</v>
      </c>
      <c r="F288">
        <v>18</v>
      </c>
      <c r="G288" t="s">
        <v>13</v>
      </c>
      <c r="H288" s="2">
        <v>46141</v>
      </c>
      <c r="I288" s="2">
        <v>46141</v>
      </c>
    </row>
    <row r="289" spans="1:9" x14ac:dyDescent="0.35">
      <c r="A289" t="s">
        <v>315</v>
      </c>
      <c r="B289" s="2">
        <v>46130</v>
      </c>
      <c r="C289" t="s">
        <v>10</v>
      </c>
      <c r="D289" t="s">
        <v>11</v>
      </c>
      <c r="E289" t="s">
        <v>46</v>
      </c>
      <c r="F289">
        <v>4</v>
      </c>
      <c r="G289" t="s">
        <v>26</v>
      </c>
      <c r="H289" s="2">
        <v>46134</v>
      </c>
    </row>
    <row r="290" spans="1:9" x14ac:dyDescent="0.35">
      <c r="A290" t="s">
        <v>316</v>
      </c>
      <c r="B290" s="2">
        <v>46194</v>
      </c>
      <c r="C290" t="s">
        <v>15</v>
      </c>
      <c r="D290" t="s">
        <v>16</v>
      </c>
      <c r="E290" t="s">
        <v>46</v>
      </c>
      <c r="F290">
        <v>3</v>
      </c>
      <c r="G290" t="s">
        <v>13</v>
      </c>
      <c r="H290" s="2">
        <v>46197</v>
      </c>
      <c r="I290" s="2">
        <v>46197</v>
      </c>
    </row>
    <row r="291" spans="1:9" x14ac:dyDescent="0.35">
      <c r="A291" t="s">
        <v>317</v>
      </c>
      <c r="B291" s="2">
        <v>46178</v>
      </c>
      <c r="C291" t="s">
        <v>10</v>
      </c>
      <c r="D291" t="s">
        <v>11</v>
      </c>
      <c r="E291" t="s">
        <v>32</v>
      </c>
      <c r="F291">
        <v>13</v>
      </c>
      <c r="G291" t="s">
        <v>13</v>
      </c>
      <c r="H291" s="2">
        <v>46179</v>
      </c>
      <c r="I291" s="2">
        <v>46179</v>
      </c>
    </row>
    <row r="292" spans="1:9" x14ac:dyDescent="0.35">
      <c r="A292" t="s">
        <v>318</v>
      </c>
      <c r="B292" s="2">
        <v>46166</v>
      </c>
      <c r="C292" t="s">
        <v>15</v>
      </c>
      <c r="D292" t="s">
        <v>16</v>
      </c>
      <c r="E292" t="s">
        <v>32</v>
      </c>
      <c r="F292">
        <v>23</v>
      </c>
      <c r="G292" t="s">
        <v>26</v>
      </c>
      <c r="H292" s="2">
        <v>46167</v>
      </c>
    </row>
    <row r="293" spans="1:9" x14ac:dyDescent="0.35">
      <c r="A293" t="s">
        <v>319</v>
      </c>
      <c r="B293" s="2">
        <v>46147</v>
      </c>
      <c r="C293" t="s">
        <v>10</v>
      </c>
      <c r="D293" t="s">
        <v>11</v>
      </c>
      <c r="E293" t="s">
        <v>12</v>
      </c>
      <c r="F293">
        <v>9</v>
      </c>
      <c r="G293" t="s">
        <v>13</v>
      </c>
      <c r="H293" s="2">
        <v>46150</v>
      </c>
      <c r="I293" s="2">
        <v>46150</v>
      </c>
    </row>
    <row r="294" spans="1:9" x14ac:dyDescent="0.35">
      <c r="A294" t="s">
        <v>320</v>
      </c>
      <c r="B294" s="2">
        <v>46192</v>
      </c>
      <c r="C294" t="s">
        <v>19</v>
      </c>
      <c r="D294" t="s">
        <v>20</v>
      </c>
      <c r="E294" t="s">
        <v>22</v>
      </c>
      <c r="F294">
        <v>21</v>
      </c>
      <c r="G294" t="s">
        <v>13</v>
      </c>
      <c r="H294" s="2">
        <v>46194</v>
      </c>
      <c r="I294" s="2">
        <v>46194</v>
      </c>
    </row>
    <row r="295" spans="1:9" x14ac:dyDescent="0.35">
      <c r="A295" t="s">
        <v>321</v>
      </c>
      <c r="B295" s="2">
        <v>46173</v>
      </c>
      <c r="C295" t="s">
        <v>10</v>
      </c>
      <c r="D295" t="s">
        <v>11</v>
      </c>
      <c r="E295" t="s">
        <v>55</v>
      </c>
      <c r="F295">
        <v>6</v>
      </c>
      <c r="G295" t="s">
        <v>13</v>
      </c>
      <c r="H295" s="2">
        <v>46174</v>
      </c>
      <c r="I295" s="2">
        <v>46173</v>
      </c>
    </row>
    <row r="296" spans="1:9" x14ac:dyDescent="0.35">
      <c r="A296" t="s">
        <v>322</v>
      </c>
      <c r="B296" s="2">
        <v>46153</v>
      </c>
      <c r="C296" t="s">
        <v>34</v>
      </c>
      <c r="D296" t="s">
        <v>35</v>
      </c>
      <c r="E296" t="s">
        <v>46</v>
      </c>
      <c r="F296">
        <v>26</v>
      </c>
      <c r="G296" t="s">
        <v>13</v>
      </c>
      <c r="H296" s="2">
        <v>46155</v>
      </c>
      <c r="I296" s="2">
        <v>46154</v>
      </c>
    </row>
    <row r="297" spans="1:9" x14ac:dyDescent="0.35">
      <c r="A297" t="s">
        <v>323</v>
      </c>
      <c r="B297" s="2">
        <v>46145</v>
      </c>
      <c r="C297" t="s">
        <v>34</v>
      </c>
      <c r="D297" t="s">
        <v>35</v>
      </c>
      <c r="E297" t="s">
        <v>12</v>
      </c>
      <c r="F297">
        <v>30</v>
      </c>
      <c r="G297" t="s">
        <v>13</v>
      </c>
      <c r="H297" s="2">
        <v>46146</v>
      </c>
      <c r="I297" s="2">
        <v>46146</v>
      </c>
    </row>
    <row r="298" spans="1:9" x14ac:dyDescent="0.35">
      <c r="A298" t="s">
        <v>324</v>
      </c>
      <c r="B298" s="2">
        <v>46180</v>
      </c>
      <c r="C298" t="s">
        <v>15</v>
      </c>
      <c r="D298" t="s">
        <v>16</v>
      </c>
      <c r="E298" t="s">
        <v>12</v>
      </c>
      <c r="F298">
        <v>28</v>
      </c>
      <c r="G298" t="s">
        <v>26</v>
      </c>
      <c r="H298" s="2">
        <v>46181</v>
      </c>
    </row>
    <row r="299" spans="1:9" x14ac:dyDescent="0.35">
      <c r="A299" t="s">
        <v>325</v>
      </c>
      <c r="B299" s="2">
        <v>46145</v>
      </c>
      <c r="C299" t="s">
        <v>10</v>
      </c>
      <c r="D299" t="s">
        <v>11</v>
      </c>
      <c r="E299" t="s">
        <v>55</v>
      </c>
      <c r="F299">
        <v>12</v>
      </c>
      <c r="G299" t="s">
        <v>13</v>
      </c>
      <c r="H299" s="2">
        <v>46146</v>
      </c>
      <c r="I299" s="2">
        <v>46146</v>
      </c>
    </row>
    <row r="300" spans="1:9" x14ac:dyDescent="0.35">
      <c r="A300" t="s">
        <v>326</v>
      </c>
      <c r="B300" s="2">
        <v>46126</v>
      </c>
      <c r="C300" t="s">
        <v>15</v>
      </c>
      <c r="D300" t="s">
        <v>16</v>
      </c>
      <c r="E300" t="s">
        <v>12</v>
      </c>
      <c r="F300">
        <v>2</v>
      </c>
      <c r="G300" t="s">
        <v>13</v>
      </c>
      <c r="H300" s="2">
        <v>46127</v>
      </c>
      <c r="I300" s="2">
        <v>46127</v>
      </c>
    </row>
    <row r="301" spans="1:9" x14ac:dyDescent="0.35">
      <c r="A301" t="s">
        <v>327</v>
      </c>
      <c r="B301" s="2">
        <v>46133</v>
      </c>
      <c r="C301" t="s">
        <v>15</v>
      </c>
      <c r="D301" t="s">
        <v>16</v>
      </c>
      <c r="E301" t="s">
        <v>17</v>
      </c>
      <c r="F301">
        <v>3</v>
      </c>
      <c r="G301" t="s">
        <v>13</v>
      </c>
      <c r="H301" s="2">
        <v>46137</v>
      </c>
      <c r="I301" s="2">
        <v>46136</v>
      </c>
    </row>
    <row r="302" spans="1:9" x14ac:dyDescent="0.35">
      <c r="A302" t="s">
        <v>328</v>
      </c>
      <c r="B302" s="2">
        <v>46160</v>
      </c>
      <c r="C302" t="s">
        <v>34</v>
      </c>
      <c r="D302" t="s">
        <v>35</v>
      </c>
      <c r="E302" t="s">
        <v>22</v>
      </c>
      <c r="F302">
        <v>3</v>
      </c>
      <c r="G302" t="s">
        <v>13</v>
      </c>
      <c r="H302" s="2">
        <v>46162</v>
      </c>
      <c r="I302" s="2">
        <v>46161</v>
      </c>
    </row>
    <row r="303" spans="1:9" x14ac:dyDescent="0.35">
      <c r="A303" t="s">
        <v>329</v>
      </c>
      <c r="B303" s="2">
        <v>46132</v>
      </c>
      <c r="C303" t="s">
        <v>19</v>
      </c>
      <c r="D303" t="s">
        <v>20</v>
      </c>
      <c r="E303" t="s">
        <v>32</v>
      </c>
      <c r="F303">
        <v>28</v>
      </c>
      <c r="G303" t="s">
        <v>13</v>
      </c>
      <c r="H303" s="2">
        <v>46134</v>
      </c>
      <c r="I303" s="2">
        <v>46134</v>
      </c>
    </row>
    <row r="304" spans="1:9" x14ac:dyDescent="0.35">
      <c r="A304" t="s">
        <v>330</v>
      </c>
      <c r="B304" s="2">
        <v>46120</v>
      </c>
      <c r="C304" t="s">
        <v>10</v>
      </c>
      <c r="D304" t="s">
        <v>11</v>
      </c>
      <c r="E304" t="s">
        <v>43</v>
      </c>
      <c r="F304">
        <v>12</v>
      </c>
      <c r="G304" t="s">
        <v>13</v>
      </c>
      <c r="H304" s="2">
        <v>46121</v>
      </c>
      <c r="I304" s="2">
        <v>46120</v>
      </c>
    </row>
    <row r="305" spans="1:9" x14ac:dyDescent="0.35">
      <c r="A305" t="s">
        <v>331</v>
      </c>
      <c r="B305" s="2">
        <v>46119</v>
      </c>
      <c r="C305" t="s">
        <v>15</v>
      </c>
      <c r="D305" t="s">
        <v>16</v>
      </c>
      <c r="E305" t="s">
        <v>55</v>
      </c>
      <c r="F305">
        <v>15</v>
      </c>
      <c r="G305" t="s">
        <v>13</v>
      </c>
      <c r="H305" s="2">
        <v>46120</v>
      </c>
      <c r="I305" s="2">
        <v>46120</v>
      </c>
    </row>
    <row r="306" spans="1:9" x14ac:dyDescent="0.35">
      <c r="A306" t="s">
        <v>332</v>
      </c>
      <c r="B306" s="2">
        <v>46179</v>
      </c>
      <c r="C306" t="s">
        <v>34</v>
      </c>
      <c r="D306" t="s">
        <v>35</v>
      </c>
      <c r="E306" t="s">
        <v>32</v>
      </c>
      <c r="F306">
        <v>9</v>
      </c>
      <c r="G306" t="s">
        <v>13</v>
      </c>
      <c r="H306" s="2">
        <v>46181</v>
      </c>
      <c r="I306" s="2">
        <v>46181</v>
      </c>
    </row>
    <row r="307" spans="1:9" x14ac:dyDescent="0.35">
      <c r="A307" t="s">
        <v>333</v>
      </c>
      <c r="B307" s="2">
        <v>46129</v>
      </c>
      <c r="C307" t="s">
        <v>34</v>
      </c>
      <c r="D307" t="s">
        <v>35</v>
      </c>
      <c r="E307" t="s">
        <v>32</v>
      </c>
      <c r="F307">
        <v>23</v>
      </c>
      <c r="G307" t="s">
        <v>13</v>
      </c>
      <c r="H307" s="2">
        <v>46133</v>
      </c>
      <c r="I307" s="2">
        <v>46133</v>
      </c>
    </row>
    <row r="308" spans="1:9" x14ac:dyDescent="0.35">
      <c r="A308" t="s">
        <v>334</v>
      </c>
      <c r="B308" s="2">
        <v>46145</v>
      </c>
      <c r="C308" t="s">
        <v>10</v>
      </c>
      <c r="D308" t="s">
        <v>11</v>
      </c>
      <c r="E308" t="s">
        <v>24</v>
      </c>
      <c r="F308">
        <v>8</v>
      </c>
      <c r="G308" t="s">
        <v>13</v>
      </c>
      <c r="H308" s="2">
        <v>46148</v>
      </c>
      <c r="I308" s="2">
        <v>46148</v>
      </c>
    </row>
    <row r="309" spans="1:9" x14ac:dyDescent="0.35">
      <c r="A309" t="s">
        <v>335</v>
      </c>
      <c r="B309" s="2">
        <v>46160</v>
      </c>
      <c r="C309" t="s">
        <v>10</v>
      </c>
      <c r="D309" t="s">
        <v>11</v>
      </c>
      <c r="E309" t="s">
        <v>17</v>
      </c>
      <c r="F309">
        <v>11</v>
      </c>
      <c r="G309" t="s">
        <v>26</v>
      </c>
      <c r="H309" s="2">
        <v>46163</v>
      </c>
    </row>
    <row r="310" spans="1:9" x14ac:dyDescent="0.35">
      <c r="A310" t="s">
        <v>336</v>
      </c>
      <c r="B310" s="2">
        <v>46188</v>
      </c>
      <c r="C310" t="s">
        <v>34</v>
      </c>
      <c r="D310" t="s">
        <v>35</v>
      </c>
      <c r="E310" t="s">
        <v>55</v>
      </c>
      <c r="F310">
        <v>16</v>
      </c>
      <c r="G310" t="s">
        <v>13</v>
      </c>
      <c r="H310" s="2">
        <v>46190</v>
      </c>
      <c r="I310" s="2">
        <v>46189</v>
      </c>
    </row>
    <row r="311" spans="1:9" x14ac:dyDescent="0.35">
      <c r="A311" t="s">
        <v>337</v>
      </c>
      <c r="B311" s="2">
        <v>46171</v>
      </c>
      <c r="C311" t="s">
        <v>10</v>
      </c>
      <c r="D311" t="s">
        <v>11</v>
      </c>
      <c r="E311" t="s">
        <v>12</v>
      </c>
      <c r="F311">
        <v>26</v>
      </c>
      <c r="G311" t="s">
        <v>13</v>
      </c>
      <c r="H311" s="2">
        <v>46172</v>
      </c>
      <c r="I311" s="2">
        <v>46171</v>
      </c>
    </row>
    <row r="312" spans="1:9" x14ac:dyDescent="0.35">
      <c r="A312" t="s">
        <v>338</v>
      </c>
      <c r="B312" s="2">
        <v>46198</v>
      </c>
      <c r="C312" t="s">
        <v>34</v>
      </c>
      <c r="D312" t="s">
        <v>35</v>
      </c>
      <c r="E312" t="s">
        <v>43</v>
      </c>
      <c r="F312">
        <v>27</v>
      </c>
      <c r="G312" t="s">
        <v>13</v>
      </c>
      <c r="H312" s="2">
        <v>46199</v>
      </c>
      <c r="I312" s="2">
        <v>46199</v>
      </c>
    </row>
    <row r="313" spans="1:9" x14ac:dyDescent="0.35">
      <c r="A313" t="s">
        <v>339</v>
      </c>
      <c r="B313" s="2">
        <v>46134</v>
      </c>
      <c r="C313" t="s">
        <v>19</v>
      </c>
      <c r="D313" t="s">
        <v>20</v>
      </c>
      <c r="E313" t="s">
        <v>55</v>
      </c>
      <c r="F313">
        <v>25</v>
      </c>
      <c r="G313" t="s">
        <v>26</v>
      </c>
      <c r="H313" s="2">
        <v>46138</v>
      </c>
    </row>
    <row r="314" spans="1:9" x14ac:dyDescent="0.35">
      <c r="A314" t="s">
        <v>340</v>
      </c>
      <c r="B314" s="2">
        <v>46142</v>
      </c>
      <c r="C314" t="s">
        <v>34</v>
      </c>
      <c r="D314" t="s">
        <v>35</v>
      </c>
      <c r="E314" t="s">
        <v>12</v>
      </c>
      <c r="F314">
        <v>22</v>
      </c>
      <c r="G314" t="s">
        <v>13</v>
      </c>
      <c r="H314" s="2">
        <v>46145</v>
      </c>
      <c r="I314" s="2">
        <v>46144</v>
      </c>
    </row>
    <row r="315" spans="1:9" x14ac:dyDescent="0.35">
      <c r="A315" t="s">
        <v>341</v>
      </c>
      <c r="B315" s="2">
        <v>46150</v>
      </c>
      <c r="C315" t="s">
        <v>34</v>
      </c>
      <c r="D315" t="s">
        <v>35</v>
      </c>
      <c r="E315" t="s">
        <v>32</v>
      </c>
      <c r="F315">
        <v>4</v>
      </c>
      <c r="G315" t="s">
        <v>13</v>
      </c>
      <c r="H315" s="2">
        <v>46154</v>
      </c>
      <c r="I315" s="2">
        <v>46153</v>
      </c>
    </row>
    <row r="316" spans="1:9" x14ac:dyDescent="0.35">
      <c r="A316" t="s">
        <v>342</v>
      </c>
      <c r="B316" s="2">
        <v>46163</v>
      </c>
      <c r="C316" t="s">
        <v>34</v>
      </c>
      <c r="D316" t="s">
        <v>35</v>
      </c>
      <c r="E316" t="s">
        <v>43</v>
      </c>
      <c r="F316">
        <v>28</v>
      </c>
      <c r="G316" t="s">
        <v>26</v>
      </c>
      <c r="H316" s="2">
        <v>46166</v>
      </c>
    </row>
    <row r="317" spans="1:9" x14ac:dyDescent="0.35">
      <c r="A317" t="s">
        <v>343</v>
      </c>
      <c r="B317" s="2">
        <v>46166</v>
      </c>
      <c r="C317" t="s">
        <v>10</v>
      </c>
      <c r="D317" t="s">
        <v>11</v>
      </c>
      <c r="E317" t="s">
        <v>12</v>
      </c>
      <c r="F317">
        <v>1</v>
      </c>
      <c r="G317" t="s">
        <v>26</v>
      </c>
      <c r="H317" s="2">
        <v>46168</v>
      </c>
    </row>
    <row r="318" spans="1:9" x14ac:dyDescent="0.35">
      <c r="A318" t="s">
        <v>344</v>
      </c>
      <c r="B318" s="2">
        <v>46120</v>
      </c>
      <c r="C318" t="s">
        <v>19</v>
      </c>
      <c r="D318" t="s">
        <v>20</v>
      </c>
      <c r="E318" t="s">
        <v>22</v>
      </c>
      <c r="F318">
        <v>24</v>
      </c>
      <c r="G318" t="s">
        <v>13</v>
      </c>
      <c r="H318" s="2">
        <v>46123</v>
      </c>
      <c r="I318" s="2">
        <v>46123</v>
      </c>
    </row>
    <row r="319" spans="1:9" x14ac:dyDescent="0.35">
      <c r="A319" t="s">
        <v>345</v>
      </c>
      <c r="B319" s="2">
        <v>46139</v>
      </c>
      <c r="C319" t="s">
        <v>34</v>
      </c>
      <c r="D319" t="s">
        <v>35</v>
      </c>
      <c r="E319" t="s">
        <v>12</v>
      </c>
      <c r="F319">
        <v>7</v>
      </c>
      <c r="G319" t="s">
        <v>13</v>
      </c>
      <c r="H319" s="2">
        <v>46143</v>
      </c>
      <c r="I319" s="2">
        <v>46142</v>
      </c>
    </row>
    <row r="320" spans="1:9" x14ac:dyDescent="0.35">
      <c r="A320" t="s">
        <v>346</v>
      </c>
      <c r="B320" s="2">
        <v>46139</v>
      </c>
      <c r="C320" t="s">
        <v>10</v>
      </c>
      <c r="D320" t="s">
        <v>11</v>
      </c>
      <c r="E320" t="s">
        <v>24</v>
      </c>
      <c r="F320">
        <v>2</v>
      </c>
      <c r="G320" t="s">
        <v>26</v>
      </c>
      <c r="H320" s="2">
        <v>46143</v>
      </c>
    </row>
    <row r="321" spans="1:9" x14ac:dyDescent="0.35">
      <c r="A321" t="s">
        <v>347</v>
      </c>
      <c r="B321" s="2">
        <v>46133</v>
      </c>
      <c r="C321" t="s">
        <v>10</v>
      </c>
      <c r="D321" t="s">
        <v>11</v>
      </c>
      <c r="E321" t="s">
        <v>17</v>
      </c>
      <c r="F321">
        <v>24</v>
      </c>
      <c r="G321" t="s">
        <v>62</v>
      </c>
      <c r="H321" s="2">
        <v>46137</v>
      </c>
      <c r="I321" s="2">
        <v>46140</v>
      </c>
    </row>
    <row r="322" spans="1:9" x14ac:dyDescent="0.35">
      <c r="A322" t="s">
        <v>348</v>
      </c>
      <c r="B322" s="2">
        <v>46142</v>
      </c>
      <c r="C322" t="s">
        <v>34</v>
      </c>
      <c r="D322" t="s">
        <v>35</v>
      </c>
      <c r="E322" t="s">
        <v>32</v>
      </c>
      <c r="F322">
        <v>28</v>
      </c>
      <c r="G322" t="s">
        <v>26</v>
      </c>
      <c r="H322" s="2">
        <v>46144</v>
      </c>
    </row>
    <row r="323" spans="1:9" x14ac:dyDescent="0.35">
      <c r="A323" t="s">
        <v>349</v>
      </c>
      <c r="B323" s="2">
        <v>46140</v>
      </c>
      <c r="C323" t="s">
        <v>34</v>
      </c>
      <c r="D323" t="s">
        <v>35</v>
      </c>
      <c r="E323" t="s">
        <v>12</v>
      </c>
      <c r="F323">
        <v>5</v>
      </c>
      <c r="G323" t="s">
        <v>13</v>
      </c>
      <c r="H323" s="2">
        <v>46143</v>
      </c>
      <c r="I323" s="2">
        <v>46143</v>
      </c>
    </row>
    <row r="324" spans="1:9" x14ac:dyDescent="0.35">
      <c r="A324" t="s">
        <v>350</v>
      </c>
      <c r="B324" s="2">
        <v>46176</v>
      </c>
      <c r="C324" t="s">
        <v>19</v>
      </c>
      <c r="D324" t="s">
        <v>20</v>
      </c>
      <c r="E324" t="s">
        <v>17</v>
      </c>
      <c r="F324">
        <v>7</v>
      </c>
      <c r="G324" t="s">
        <v>13</v>
      </c>
      <c r="H324" s="2">
        <v>46179</v>
      </c>
      <c r="I324" s="2">
        <v>46179</v>
      </c>
    </row>
    <row r="325" spans="1:9" x14ac:dyDescent="0.35">
      <c r="A325" t="s">
        <v>351</v>
      </c>
      <c r="B325" s="2">
        <v>46181</v>
      </c>
      <c r="C325" t="s">
        <v>34</v>
      </c>
      <c r="D325" t="s">
        <v>35</v>
      </c>
      <c r="E325" t="s">
        <v>46</v>
      </c>
      <c r="F325">
        <v>4</v>
      </c>
      <c r="G325" t="s">
        <v>13</v>
      </c>
      <c r="H325" s="2">
        <v>46185</v>
      </c>
      <c r="I325" s="2">
        <v>46185</v>
      </c>
    </row>
    <row r="326" spans="1:9" x14ac:dyDescent="0.35">
      <c r="A326" t="s">
        <v>352</v>
      </c>
      <c r="B326" s="2">
        <v>46173</v>
      </c>
      <c r="C326" t="s">
        <v>34</v>
      </c>
      <c r="D326" t="s">
        <v>35</v>
      </c>
      <c r="E326" t="s">
        <v>46</v>
      </c>
      <c r="F326">
        <v>5</v>
      </c>
      <c r="G326" t="s">
        <v>26</v>
      </c>
      <c r="H326" s="2">
        <v>46176</v>
      </c>
    </row>
    <row r="327" spans="1:9" x14ac:dyDescent="0.35">
      <c r="A327" t="s">
        <v>353</v>
      </c>
      <c r="B327" s="2">
        <v>46160</v>
      </c>
      <c r="C327" t="s">
        <v>19</v>
      </c>
      <c r="D327" t="s">
        <v>20</v>
      </c>
      <c r="E327" t="s">
        <v>17</v>
      </c>
      <c r="F327">
        <v>24</v>
      </c>
      <c r="G327" t="s">
        <v>13</v>
      </c>
      <c r="H327" s="2">
        <v>46161</v>
      </c>
      <c r="I327" s="2">
        <v>46160</v>
      </c>
    </row>
    <row r="328" spans="1:9" x14ac:dyDescent="0.35">
      <c r="A328" t="s">
        <v>354</v>
      </c>
      <c r="B328" s="2">
        <v>46131</v>
      </c>
      <c r="C328" t="s">
        <v>15</v>
      </c>
      <c r="D328" t="s">
        <v>16</v>
      </c>
      <c r="E328" t="s">
        <v>17</v>
      </c>
      <c r="F328">
        <v>1</v>
      </c>
      <c r="G328" t="s">
        <v>13</v>
      </c>
      <c r="H328" s="2">
        <v>46132</v>
      </c>
      <c r="I328" s="2">
        <v>46132</v>
      </c>
    </row>
    <row r="329" spans="1:9" x14ac:dyDescent="0.35">
      <c r="A329" t="s">
        <v>355</v>
      </c>
      <c r="B329" s="2">
        <v>46116</v>
      </c>
      <c r="C329" t="s">
        <v>15</v>
      </c>
      <c r="D329" t="s">
        <v>16</v>
      </c>
      <c r="E329" t="s">
        <v>24</v>
      </c>
      <c r="F329">
        <v>1</v>
      </c>
      <c r="G329" t="s">
        <v>26</v>
      </c>
      <c r="H329" s="2">
        <v>46117</v>
      </c>
    </row>
    <row r="330" spans="1:9" x14ac:dyDescent="0.35">
      <c r="A330" t="s">
        <v>356</v>
      </c>
      <c r="B330" s="2">
        <v>46147</v>
      </c>
      <c r="C330" t="s">
        <v>34</v>
      </c>
      <c r="D330" t="s">
        <v>35</v>
      </c>
      <c r="E330" t="s">
        <v>22</v>
      </c>
      <c r="F330">
        <v>15</v>
      </c>
      <c r="G330" t="s">
        <v>13</v>
      </c>
      <c r="H330" s="2">
        <v>46150</v>
      </c>
      <c r="I330" s="2">
        <v>46149</v>
      </c>
    </row>
    <row r="331" spans="1:9" x14ac:dyDescent="0.35">
      <c r="A331" t="s">
        <v>357</v>
      </c>
      <c r="B331" s="2">
        <v>46176</v>
      </c>
      <c r="C331" t="s">
        <v>19</v>
      </c>
      <c r="D331" t="s">
        <v>20</v>
      </c>
      <c r="E331" t="s">
        <v>32</v>
      </c>
      <c r="F331">
        <v>20</v>
      </c>
      <c r="G331" t="s">
        <v>26</v>
      </c>
      <c r="H331" s="2">
        <v>46178</v>
      </c>
    </row>
    <row r="332" spans="1:9" x14ac:dyDescent="0.35">
      <c r="A332" t="s">
        <v>358</v>
      </c>
      <c r="B332" s="2">
        <v>46161</v>
      </c>
      <c r="C332" t="s">
        <v>15</v>
      </c>
      <c r="D332" t="s">
        <v>16</v>
      </c>
      <c r="E332" t="s">
        <v>55</v>
      </c>
      <c r="F332">
        <v>19</v>
      </c>
      <c r="G332" t="s">
        <v>13</v>
      </c>
      <c r="H332" s="2">
        <v>46163</v>
      </c>
      <c r="I332" s="2">
        <v>46163</v>
      </c>
    </row>
    <row r="333" spans="1:9" x14ac:dyDescent="0.35">
      <c r="A333" t="s">
        <v>359</v>
      </c>
      <c r="B333" s="2">
        <v>46129</v>
      </c>
      <c r="C333" t="s">
        <v>15</v>
      </c>
      <c r="D333" t="s">
        <v>16</v>
      </c>
      <c r="E333" t="s">
        <v>24</v>
      </c>
      <c r="F333">
        <v>29</v>
      </c>
      <c r="G333" t="s">
        <v>13</v>
      </c>
      <c r="H333" s="2">
        <v>46131</v>
      </c>
      <c r="I333" s="2">
        <v>46131</v>
      </c>
    </row>
    <row r="334" spans="1:9" x14ac:dyDescent="0.35">
      <c r="A334" t="s">
        <v>360</v>
      </c>
      <c r="B334" s="2">
        <v>46156</v>
      </c>
      <c r="C334" t="s">
        <v>15</v>
      </c>
      <c r="D334" t="s">
        <v>16</v>
      </c>
      <c r="E334" t="s">
        <v>22</v>
      </c>
      <c r="F334">
        <v>10</v>
      </c>
      <c r="G334" t="s">
        <v>13</v>
      </c>
      <c r="H334" s="2">
        <v>46158</v>
      </c>
      <c r="I334" s="2">
        <v>46157</v>
      </c>
    </row>
    <row r="335" spans="1:9" x14ac:dyDescent="0.35">
      <c r="A335" t="s">
        <v>361</v>
      </c>
      <c r="B335" s="2">
        <v>46142</v>
      </c>
      <c r="C335" t="s">
        <v>15</v>
      </c>
      <c r="D335" t="s">
        <v>16</v>
      </c>
      <c r="E335" t="s">
        <v>17</v>
      </c>
      <c r="F335">
        <v>28</v>
      </c>
      <c r="G335" t="s">
        <v>26</v>
      </c>
      <c r="H335" s="2">
        <v>46143</v>
      </c>
    </row>
    <row r="336" spans="1:9" x14ac:dyDescent="0.35">
      <c r="A336" t="s">
        <v>362</v>
      </c>
      <c r="B336" s="2">
        <v>46158</v>
      </c>
      <c r="C336" t="s">
        <v>15</v>
      </c>
      <c r="D336" t="s">
        <v>16</v>
      </c>
      <c r="E336" t="s">
        <v>55</v>
      </c>
      <c r="F336">
        <v>18</v>
      </c>
      <c r="G336" t="s">
        <v>13</v>
      </c>
      <c r="H336" s="2">
        <v>46159</v>
      </c>
      <c r="I336" s="2">
        <v>46159</v>
      </c>
    </row>
    <row r="337" spans="1:9" x14ac:dyDescent="0.35">
      <c r="A337" t="s">
        <v>363</v>
      </c>
      <c r="B337" s="2">
        <v>46118</v>
      </c>
      <c r="C337" t="s">
        <v>34</v>
      </c>
      <c r="D337" t="s">
        <v>35</v>
      </c>
      <c r="E337" t="s">
        <v>17</v>
      </c>
      <c r="F337">
        <v>28</v>
      </c>
      <c r="G337" t="s">
        <v>13</v>
      </c>
      <c r="H337" s="2">
        <v>46122</v>
      </c>
      <c r="I337" s="2">
        <v>46121</v>
      </c>
    </row>
    <row r="338" spans="1:9" x14ac:dyDescent="0.35">
      <c r="A338" t="s">
        <v>364</v>
      </c>
      <c r="B338" s="2">
        <v>46149</v>
      </c>
      <c r="C338" t="s">
        <v>10</v>
      </c>
      <c r="D338" t="s">
        <v>11</v>
      </c>
      <c r="E338" t="s">
        <v>17</v>
      </c>
      <c r="F338">
        <v>3</v>
      </c>
      <c r="G338" t="s">
        <v>62</v>
      </c>
      <c r="H338" s="2">
        <v>46152</v>
      </c>
      <c r="I338" s="2">
        <v>46154</v>
      </c>
    </row>
    <row r="339" spans="1:9" x14ac:dyDescent="0.35">
      <c r="A339" t="s">
        <v>365</v>
      </c>
      <c r="B339" s="2">
        <v>46136</v>
      </c>
      <c r="C339" t="s">
        <v>15</v>
      </c>
      <c r="D339" t="s">
        <v>16</v>
      </c>
      <c r="E339" t="s">
        <v>46</v>
      </c>
      <c r="F339">
        <v>11</v>
      </c>
      <c r="G339" t="s">
        <v>13</v>
      </c>
      <c r="H339" s="2">
        <v>46139</v>
      </c>
      <c r="I339" s="2">
        <v>46139</v>
      </c>
    </row>
    <row r="340" spans="1:9" x14ac:dyDescent="0.35">
      <c r="A340" t="s">
        <v>366</v>
      </c>
      <c r="B340" s="2">
        <v>46158</v>
      </c>
      <c r="C340" t="s">
        <v>34</v>
      </c>
      <c r="D340" t="s">
        <v>35</v>
      </c>
      <c r="E340" t="s">
        <v>46</v>
      </c>
      <c r="F340">
        <v>15</v>
      </c>
      <c r="G340" t="s">
        <v>13</v>
      </c>
      <c r="H340" s="2">
        <v>46160</v>
      </c>
      <c r="I340" s="2">
        <v>46160</v>
      </c>
    </row>
    <row r="341" spans="1:9" x14ac:dyDescent="0.35">
      <c r="A341" t="s">
        <v>367</v>
      </c>
      <c r="B341" s="2">
        <v>46165</v>
      </c>
      <c r="C341" t="s">
        <v>15</v>
      </c>
      <c r="D341" t="s">
        <v>16</v>
      </c>
      <c r="E341" t="s">
        <v>55</v>
      </c>
      <c r="F341">
        <v>27</v>
      </c>
      <c r="G341" t="s">
        <v>13</v>
      </c>
      <c r="H341" s="2">
        <v>46166</v>
      </c>
      <c r="I341" s="2">
        <v>46166</v>
      </c>
    </row>
    <row r="342" spans="1:9" x14ac:dyDescent="0.35">
      <c r="A342" t="s">
        <v>368</v>
      </c>
      <c r="B342" s="2">
        <v>46172</v>
      </c>
      <c r="C342" t="s">
        <v>34</v>
      </c>
      <c r="D342" t="s">
        <v>35</v>
      </c>
      <c r="E342" t="s">
        <v>24</v>
      </c>
      <c r="F342">
        <v>30</v>
      </c>
      <c r="G342" t="s">
        <v>13</v>
      </c>
      <c r="H342" s="2">
        <v>46174</v>
      </c>
      <c r="I342" s="2">
        <v>46174</v>
      </c>
    </row>
    <row r="343" spans="1:9" x14ac:dyDescent="0.35">
      <c r="A343" t="s">
        <v>369</v>
      </c>
      <c r="B343" s="2">
        <v>46175</v>
      </c>
      <c r="C343" t="s">
        <v>34</v>
      </c>
      <c r="D343" t="s">
        <v>35</v>
      </c>
      <c r="E343" t="s">
        <v>46</v>
      </c>
      <c r="F343">
        <v>11</v>
      </c>
      <c r="G343" t="s">
        <v>13</v>
      </c>
      <c r="H343" s="2">
        <v>46179</v>
      </c>
      <c r="I343" s="2">
        <v>46179</v>
      </c>
    </row>
    <row r="344" spans="1:9" x14ac:dyDescent="0.35">
      <c r="A344" t="s">
        <v>370</v>
      </c>
      <c r="B344" s="2">
        <v>46197</v>
      </c>
      <c r="C344" t="s">
        <v>10</v>
      </c>
      <c r="D344" t="s">
        <v>11</v>
      </c>
      <c r="E344" t="s">
        <v>32</v>
      </c>
      <c r="F344">
        <v>17</v>
      </c>
      <c r="G344" t="s">
        <v>13</v>
      </c>
      <c r="H344" s="2">
        <v>46200</v>
      </c>
      <c r="I344" s="2">
        <v>46200</v>
      </c>
    </row>
    <row r="345" spans="1:9" x14ac:dyDescent="0.35">
      <c r="A345" t="s">
        <v>371</v>
      </c>
      <c r="B345" s="2">
        <v>46144</v>
      </c>
      <c r="C345" t="s">
        <v>15</v>
      </c>
      <c r="D345" t="s">
        <v>16</v>
      </c>
      <c r="E345" t="s">
        <v>17</v>
      </c>
      <c r="F345">
        <v>17</v>
      </c>
      <c r="G345" t="s">
        <v>13</v>
      </c>
      <c r="H345" s="2">
        <v>46147</v>
      </c>
      <c r="I345" s="2">
        <v>46146</v>
      </c>
    </row>
    <row r="346" spans="1:9" x14ac:dyDescent="0.35">
      <c r="A346" t="s">
        <v>372</v>
      </c>
      <c r="B346" s="2">
        <v>46199</v>
      </c>
      <c r="C346" t="s">
        <v>34</v>
      </c>
      <c r="D346" t="s">
        <v>35</v>
      </c>
      <c r="E346" t="s">
        <v>43</v>
      </c>
      <c r="F346">
        <v>6</v>
      </c>
      <c r="G346" t="s">
        <v>13</v>
      </c>
      <c r="H346" s="2">
        <v>46201</v>
      </c>
      <c r="I346" s="2">
        <v>46200</v>
      </c>
    </row>
    <row r="347" spans="1:9" x14ac:dyDescent="0.35">
      <c r="A347" t="s">
        <v>373</v>
      </c>
      <c r="B347" s="2">
        <v>46145</v>
      </c>
      <c r="C347" t="s">
        <v>15</v>
      </c>
      <c r="D347" t="s">
        <v>16</v>
      </c>
      <c r="E347" t="s">
        <v>12</v>
      </c>
      <c r="F347">
        <v>5</v>
      </c>
      <c r="G347" t="s">
        <v>13</v>
      </c>
      <c r="H347" s="2">
        <v>46149</v>
      </c>
      <c r="I347" s="2">
        <v>46149</v>
      </c>
    </row>
    <row r="348" spans="1:9" x14ac:dyDescent="0.35">
      <c r="A348" t="s">
        <v>374</v>
      </c>
      <c r="B348" s="2">
        <v>46179</v>
      </c>
      <c r="C348" t="s">
        <v>19</v>
      </c>
      <c r="D348" t="s">
        <v>20</v>
      </c>
      <c r="E348" t="s">
        <v>55</v>
      </c>
      <c r="F348">
        <v>8</v>
      </c>
      <c r="G348" t="s">
        <v>13</v>
      </c>
      <c r="H348" s="2">
        <v>46182</v>
      </c>
      <c r="I348" s="2">
        <v>46181</v>
      </c>
    </row>
    <row r="349" spans="1:9" x14ac:dyDescent="0.35">
      <c r="A349" t="s">
        <v>375</v>
      </c>
      <c r="B349" s="2">
        <v>46130</v>
      </c>
      <c r="C349" t="s">
        <v>10</v>
      </c>
      <c r="D349" t="s">
        <v>11</v>
      </c>
      <c r="E349" t="s">
        <v>55</v>
      </c>
      <c r="F349">
        <v>2</v>
      </c>
      <c r="G349" t="s">
        <v>13</v>
      </c>
      <c r="H349" s="2">
        <v>46134</v>
      </c>
      <c r="I349" s="2">
        <v>46133</v>
      </c>
    </row>
    <row r="350" spans="1:9" x14ac:dyDescent="0.35">
      <c r="A350" t="s">
        <v>376</v>
      </c>
      <c r="B350" s="2">
        <v>46137</v>
      </c>
      <c r="C350" t="s">
        <v>10</v>
      </c>
      <c r="D350" t="s">
        <v>11</v>
      </c>
      <c r="E350" t="s">
        <v>46</v>
      </c>
      <c r="F350">
        <v>16</v>
      </c>
      <c r="G350" t="s">
        <v>13</v>
      </c>
      <c r="H350" s="2">
        <v>46141</v>
      </c>
      <c r="I350" s="2">
        <v>46141</v>
      </c>
    </row>
    <row r="351" spans="1:9" x14ac:dyDescent="0.35">
      <c r="A351" t="s">
        <v>377</v>
      </c>
      <c r="B351" s="2">
        <v>46166</v>
      </c>
      <c r="C351" t="s">
        <v>15</v>
      </c>
      <c r="D351" t="s">
        <v>16</v>
      </c>
      <c r="E351" t="s">
        <v>24</v>
      </c>
      <c r="F351">
        <v>20</v>
      </c>
      <c r="G351" t="s">
        <v>13</v>
      </c>
      <c r="H351" s="2">
        <v>46168</v>
      </c>
      <c r="I351" s="2">
        <v>46168</v>
      </c>
    </row>
    <row r="352" spans="1:9" x14ac:dyDescent="0.35">
      <c r="A352" t="s">
        <v>378</v>
      </c>
      <c r="B352" s="2">
        <v>46170</v>
      </c>
      <c r="C352" t="s">
        <v>19</v>
      </c>
      <c r="D352" t="s">
        <v>20</v>
      </c>
      <c r="E352" t="s">
        <v>17</v>
      </c>
      <c r="F352">
        <v>24</v>
      </c>
      <c r="G352" t="s">
        <v>13</v>
      </c>
      <c r="H352" s="2">
        <v>46171</v>
      </c>
      <c r="I352" s="2">
        <v>46170</v>
      </c>
    </row>
    <row r="353" spans="1:9" x14ac:dyDescent="0.35">
      <c r="A353" t="s">
        <v>379</v>
      </c>
      <c r="B353" s="2">
        <v>46179</v>
      </c>
      <c r="C353" t="s">
        <v>15</v>
      </c>
      <c r="D353" t="s">
        <v>16</v>
      </c>
      <c r="E353" t="s">
        <v>32</v>
      </c>
      <c r="F353">
        <v>12</v>
      </c>
      <c r="G353" t="s">
        <v>13</v>
      </c>
      <c r="H353" s="2">
        <v>46181</v>
      </c>
      <c r="I353" s="2">
        <v>46181</v>
      </c>
    </row>
    <row r="354" spans="1:9" x14ac:dyDescent="0.35">
      <c r="A354" t="s">
        <v>380</v>
      </c>
      <c r="B354" s="2">
        <v>46158</v>
      </c>
      <c r="C354" t="s">
        <v>15</v>
      </c>
      <c r="D354" t="s">
        <v>16</v>
      </c>
      <c r="E354" t="s">
        <v>24</v>
      </c>
      <c r="F354">
        <v>6</v>
      </c>
      <c r="G354" t="s">
        <v>26</v>
      </c>
      <c r="H354" s="2">
        <v>46159</v>
      </c>
    </row>
    <row r="355" spans="1:9" x14ac:dyDescent="0.35">
      <c r="A355" t="s">
        <v>381</v>
      </c>
      <c r="B355" s="2">
        <v>46136</v>
      </c>
      <c r="C355" t="s">
        <v>34</v>
      </c>
      <c r="D355" t="s">
        <v>35</v>
      </c>
      <c r="E355" t="s">
        <v>22</v>
      </c>
      <c r="F355">
        <v>1</v>
      </c>
      <c r="G355" t="s">
        <v>13</v>
      </c>
      <c r="H355" s="2">
        <v>46140</v>
      </c>
      <c r="I355" s="2">
        <v>46139</v>
      </c>
    </row>
    <row r="356" spans="1:9" x14ac:dyDescent="0.35">
      <c r="A356" t="s">
        <v>382</v>
      </c>
      <c r="B356" s="2">
        <v>46144</v>
      </c>
      <c r="C356" t="s">
        <v>15</v>
      </c>
      <c r="D356" t="s">
        <v>16</v>
      </c>
      <c r="E356" t="s">
        <v>22</v>
      </c>
      <c r="F356">
        <v>4</v>
      </c>
      <c r="G356" t="s">
        <v>62</v>
      </c>
      <c r="H356" s="2">
        <v>46145</v>
      </c>
      <c r="I356" s="2">
        <v>46148</v>
      </c>
    </row>
    <row r="357" spans="1:9" x14ac:dyDescent="0.35">
      <c r="A357" t="s">
        <v>383</v>
      </c>
      <c r="B357" s="2">
        <v>46159</v>
      </c>
      <c r="C357" t="s">
        <v>19</v>
      </c>
      <c r="D357" t="s">
        <v>20</v>
      </c>
      <c r="E357" t="s">
        <v>43</v>
      </c>
      <c r="F357">
        <v>17</v>
      </c>
      <c r="G357" t="s">
        <v>62</v>
      </c>
      <c r="H357" s="2">
        <v>46163</v>
      </c>
      <c r="I357" s="2">
        <v>46167</v>
      </c>
    </row>
    <row r="358" spans="1:9" x14ac:dyDescent="0.35">
      <c r="A358" t="s">
        <v>384</v>
      </c>
      <c r="B358" s="2">
        <v>46198</v>
      </c>
      <c r="C358" t="s">
        <v>19</v>
      </c>
      <c r="D358" t="s">
        <v>20</v>
      </c>
      <c r="E358" t="s">
        <v>46</v>
      </c>
      <c r="F358">
        <v>13</v>
      </c>
      <c r="G358" t="s">
        <v>13</v>
      </c>
      <c r="H358" s="2">
        <v>46201</v>
      </c>
      <c r="I358" s="2">
        <v>46200</v>
      </c>
    </row>
    <row r="359" spans="1:9" x14ac:dyDescent="0.35">
      <c r="A359" t="s">
        <v>385</v>
      </c>
      <c r="B359" s="2">
        <v>46135</v>
      </c>
      <c r="C359" t="s">
        <v>15</v>
      </c>
      <c r="D359" t="s">
        <v>16</v>
      </c>
      <c r="E359" t="s">
        <v>46</v>
      </c>
      <c r="F359">
        <v>18</v>
      </c>
      <c r="G359" t="s">
        <v>13</v>
      </c>
      <c r="H359" s="2">
        <v>46138</v>
      </c>
      <c r="I359" s="2">
        <v>46137</v>
      </c>
    </row>
    <row r="360" spans="1:9" x14ac:dyDescent="0.35">
      <c r="A360" t="s">
        <v>386</v>
      </c>
      <c r="B360" s="2">
        <v>46178</v>
      </c>
      <c r="C360" t="s">
        <v>10</v>
      </c>
      <c r="D360" t="s">
        <v>11</v>
      </c>
      <c r="E360" t="s">
        <v>46</v>
      </c>
      <c r="F360">
        <v>5</v>
      </c>
      <c r="G360" t="s">
        <v>13</v>
      </c>
      <c r="H360" s="2">
        <v>46181</v>
      </c>
      <c r="I360" s="2">
        <v>46180</v>
      </c>
    </row>
    <row r="361" spans="1:9" x14ac:dyDescent="0.35">
      <c r="A361" t="s">
        <v>387</v>
      </c>
      <c r="B361" s="2">
        <v>46139</v>
      </c>
      <c r="C361" t="s">
        <v>19</v>
      </c>
      <c r="D361" t="s">
        <v>20</v>
      </c>
      <c r="E361" t="s">
        <v>43</v>
      </c>
      <c r="F361">
        <v>30</v>
      </c>
      <c r="G361" t="s">
        <v>26</v>
      </c>
      <c r="H361" s="2">
        <v>46141</v>
      </c>
    </row>
    <row r="362" spans="1:9" x14ac:dyDescent="0.35">
      <c r="A362" t="s">
        <v>388</v>
      </c>
      <c r="B362" s="2">
        <v>46114</v>
      </c>
      <c r="C362" t="s">
        <v>19</v>
      </c>
      <c r="D362" t="s">
        <v>20</v>
      </c>
      <c r="E362" t="s">
        <v>22</v>
      </c>
      <c r="F362">
        <v>24</v>
      </c>
      <c r="G362" t="s">
        <v>13</v>
      </c>
      <c r="H362" s="2">
        <v>46116</v>
      </c>
      <c r="I362" s="2">
        <v>46116</v>
      </c>
    </row>
    <row r="363" spans="1:9" x14ac:dyDescent="0.35">
      <c r="A363" t="s">
        <v>389</v>
      </c>
      <c r="B363" s="2">
        <v>46202</v>
      </c>
      <c r="C363" t="s">
        <v>10</v>
      </c>
      <c r="D363" t="s">
        <v>11</v>
      </c>
      <c r="E363" t="s">
        <v>24</v>
      </c>
      <c r="F363">
        <v>24</v>
      </c>
      <c r="G363" t="s">
        <v>13</v>
      </c>
      <c r="H363" s="2">
        <v>46206</v>
      </c>
      <c r="I363" s="2">
        <v>46206</v>
      </c>
    </row>
    <row r="364" spans="1:9" x14ac:dyDescent="0.35">
      <c r="A364" t="s">
        <v>390</v>
      </c>
      <c r="B364" s="2">
        <v>46129</v>
      </c>
      <c r="C364" t="s">
        <v>19</v>
      </c>
      <c r="D364" t="s">
        <v>20</v>
      </c>
      <c r="E364" t="s">
        <v>43</v>
      </c>
      <c r="F364">
        <v>27</v>
      </c>
      <c r="G364" t="s">
        <v>13</v>
      </c>
      <c r="H364" s="2">
        <v>46132</v>
      </c>
      <c r="I364" s="2">
        <v>46131</v>
      </c>
    </row>
    <row r="365" spans="1:9" x14ac:dyDescent="0.35">
      <c r="A365" t="s">
        <v>391</v>
      </c>
      <c r="B365" s="2">
        <v>46145</v>
      </c>
      <c r="C365" t="s">
        <v>19</v>
      </c>
      <c r="D365" t="s">
        <v>20</v>
      </c>
      <c r="E365" t="s">
        <v>43</v>
      </c>
      <c r="F365">
        <v>3</v>
      </c>
      <c r="G365" t="s">
        <v>26</v>
      </c>
      <c r="H365" s="2">
        <v>46147</v>
      </c>
    </row>
    <row r="366" spans="1:9" x14ac:dyDescent="0.35">
      <c r="A366" t="s">
        <v>392</v>
      </c>
      <c r="B366" s="2">
        <v>46121</v>
      </c>
      <c r="C366" t="s">
        <v>10</v>
      </c>
      <c r="D366" t="s">
        <v>11</v>
      </c>
      <c r="E366" t="s">
        <v>24</v>
      </c>
      <c r="F366">
        <v>11</v>
      </c>
      <c r="G366" t="s">
        <v>26</v>
      </c>
      <c r="H366" s="2">
        <v>46124</v>
      </c>
    </row>
    <row r="367" spans="1:9" x14ac:dyDescent="0.35">
      <c r="A367" t="s">
        <v>393</v>
      </c>
      <c r="B367" s="2">
        <v>46155</v>
      </c>
      <c r="C367" t="s">
        <v>15</v>
      </c>
      <c r="D367" t="s">
        <v>16</v>
      </c>
      <c r="E367" t="s">
        <v>46</v>
      </c>
      <c r="F367">
        <v>13</v>
      </c>
      <c r="G367" t="s">
        <v>13</v>
      </c>
      <c r="H367" s="2">
        <v>46157</v>
      </c>
      <c r="I367" s="2">
        <v>46156</v>
      </c>
    </row>
    <row r="368" spans="1:9" x14ac:dyDescent="0.35">
      <c r="A368" t="s">
        <v>394</v>
      </c>
      <c r="B368" s="2">
        <v>46160</v>
      </c>
      <c r="C368" t="s">
        <v>34</v>
      </c>
      <c r="D368" t="s">
        <v>35</v>
      </c>
      <c r="E368" t="s">
        <v>32</v>
      </c>
      <c r="F368">
        <v>4</v>
      </c>
      <c r="G368" t="s">
        <v>13</v>
      </c>
      <c r="H368" s="2">
        <v>46161</v>
      </c>
      <c r="I368" s="2">
        <v>46161</v>
      </c>
    </row>
    <row r="369" spans="1:9" x14ac:dyDescent="0.35">
      <c r="A369" t="s">
        <v>395</v>
      </c>
      <c r="B369" s="2">
        <v>46151</v>
      </c>
      <c r="C369" t="s">
        <v>19</v>
      </c>
      <c r="D369" t="s">
        <v>20</v>
      </c>
      <c r="E369" t="s">
        <v>24</v>
      </c>
      <c r="F369">
        <v>26</v>
      </c>
      <c r="G369" t="s">
        <v>13</v>
      </c>
      <c r="H369" s="2">
        <v>46152</v>
      </c>
      <c r="I369" s="2">
        <v>46152</v>
      </c>
    </row>
    <row r="370" spans="1:9" x14ac:dyDescent="0.35">
      <c r="A370" t="s">
        <v>396</v>
      </c>
      <c r="B370" s="2">
        <v>46154</v>
      </c>
      <c r="C370" t="s">
        <v>15</v>
      </c>
      <c r="D370" t="s">
        <v>16</v>
      </c>
      <c r="E370" t="s">
        <v>22</v>
      </c>
      <c r="F370">
        <v>27</v>
      </c>
      <c r="G370" t="s">
        <v>13</v>
      </c>
      <c r="H370" s="2">
        <v>46157</v>
      </c>
      <c r="I370" s="2">
        <v>46156</v>
      </c>
    </row>
    <row r="371" spans="1:9" x14ac:dyDescent="0.35">
      <c r="A371" t="s">
        <v>397</v>
      </c>
      <c r="B371" s="2">
        <v>46138</v>
      </c>
      <c r="C371" t="s">
        <v>19</v>
      </c>
      <c r="D371" t="s">
        <v>20</v>
      </c>
      <c r="E371" t="s">
        <v>55</v>
      </c>
      <c r="F371">
        <v>14</v>
      </c>
      <c r="G371" t="s">
        <v>26</v>
      </c>
      <c r="H371" s="2">
        <v>46142</v>
      </c>
    </row>
    <row r="372" spans="1:9" x14ac:dyDescent="0.35">
      <c r="A372" t="s">
        <v>398</v>
      </c>
      <c r="B372" s="2">
        <v>46162</v>
      </c>
      <c r="C372" t="s">
        <v>15</v>
      </c>
      <c r="D372" t="s">
        <v>16</v>
      </c>
      <c r="E372" t="s">
        <v>17</v>
      </c>
      <c r="F372">
        <v>22</v>
      </c>
      <c r="G372" t="s">
        <v>13</v>
      </c>
      <c r="H372" s="2">
        <v>46164</v>
      </c>
      <c r="I372" s="2">
        <v>46163</v>
      </c>
    </row>
    <row r="373" spans="1:9" x14ac:dyDescent="0.35">
      <c r="A373" t="s">
        <v>399</v>
      </c>
      <c r="B373" s="2">
        <v>46137</v>
      </c>
      <c r="C373" t="s">
        <v>15</v>
      </c>
      <c r="D373" t="s">
        <v>16</v>
      </c>
      <c r="E373" t="s">
        <v>55</v>
      </c>
      <c r="F373">
        <v>11</v>
      </c>
      <c r="G373" t="s">
        <v>13</v>
      </c>
      <c r="H373" s="2">
        <v>46139</v>
      </c>
      <c r="I373" s="2">
        <v>46138</v>
      </c>
    </row>
    <row r="374" spans="1:9" x14ac:dyDescent="0.35">
      <c r="A374" t="s">
        <v>400</v>
      </c>
      <c r="B374" s="2">
        <v>46136</v>
      </c>
      <c r="C374" t="s">
        <v>34</v>
      </c>
      <c r="D374" t="s">
        <v>35</v>
      </c>
      <c r="E374" t="s">
        <v>12</v>
      </c>
      <c r="F374">
        <v>27</v>
      </c>
      <c r="G374" t="s">
        <v>13</v>
      </c>
      <c r="H374" s="2">
        <v>46137</v>
      </c>
      <c r="I374" s="2">
        <v>46136</v>
      </c>
    </row>
    <row r="375" spans="1:9" x14ac:dyDescent="0.35">
      <c r="A375" t="s">
        <v>401</v>
      </c>
      <c r="B375" s="2">
        <v>46125</v>
      </c>
      <c r="C375" t="s">
        <v>15</v>
      </c>
      <c r="D375" t="s">
        <v>16</v>
      </c>
      <c r="E375" t="s">
        <v>12</v>
      </c>
      <c r="F375">
        <v>10</v>
      </c>
      <c r="G375" t="s">
        <v>26</v>
      </c>
      <c r="H375" s="2">
        <v>46126</v>
      </c>
    </row>
    <row r="376" spans="1:9" x14ac:dyDescent="0.35">
      <c r="A376" t="s">
        <v>402</v>
      </c>
      <c r="B376" s="2">
        <v>46172</v>
      </c>
      <c r="C376" t="s">
        <v>19</v>
      </c>
      <c r="D376" t="s">
        <v>20</v>
      </c>
      <c r="E376" t="s">
        <v>43</v>
      </c>
      <c r="F376">
        <v>19</v>
      </c>
      <c r="G376" t="s">
        <v>26</v>
      </c>
      <c r="H376" s="2">
        <v>46176</v>
      </c>
    </row>
    <row r="377" spans="1:9" x14ac:dyDescent="0.35">
      <c r="A377" t="s">
        <v>403</v>
      </c>
      <c r="B377" s="2">
        <v>46119</v>
      </c>
      <c r="C377" t="s">
        <v>19</v>
      </c>
      <c r="D377" t="s">
        <v>20</v>
      </c>
      <c r="E377" t="s">
        <v>17</v>
      </c>
      <c r="F377">
        <v>18</v>
      </c>
      <c r="G377" t="s">
        <v>13</v>
      </c>
      <c r="H377" s="2">
        <v>46123</v>
      </c>
      <c r="I377" s="2">
        <v>46122</v>
      </c>
    </row>
    <row r="378" spans="1:9" x14ac:dyDescent="0.35">
      <c r="A378" t="s">
        <v>404</v>
      </c>
      <c r="B378" s="2">
        <v>46169</v>
      </c>
      <c r="C378" t="s">
        <v>19</v>
      </c>
      <c r="D378" t="s">
        <v>20</v>
      </c>
      <c r="E378" t="s">
        <v>55</v>
      </c>
      <c r="F378">
        <v>6</v>
      </c>
      <c r="G378" t="s">
        <v>26</v>
      </c>
      <c r="H378" s="2">
        <v>46173</v>
      </c>
    </row>
    <row r="379" spans="1:9" x14ac:dyDescent="0.35">
      <c r="A379" t="s">
        <v>405</v>
      </c>
      <c r="B379" s="2">
        <v>46148</v>
      </c>
      <c r="C379" t="s">
        <v>10</v>
      </c>
      <c r="D379" t="s">
        <v>11</v>
      </c>
      <c r="E379" t="s">
        <v>32</v>
      </c>
      <c r="F379">
        <v>27</v>
      </c>
      <c r="G379" t="s">
        <v>13</v>
      </c>
      <c r="H379" s="2">
        <v>46151</v>
      </c>
      <c r="I379" s="2">
        <v>46151</v>
      </c>
    </row>
    <row r="380" spans="1:9" x14ac:dyDescent="0.35">
      <c r="A380" t="s">
        <v>406</v>
      </c>
      <c r="B380" s="2">
        <v>46157</v>
      </c>
      <c r="C380" t="s">
        <v>15</v>
      </c>
      <c r="D380" t="s">
        <v>16</v>
      </c>
      <c r="E380" t="s">
        <v>46</v>
      </c>
      <c r="F380">
        <v>29</v>
      </c>
      <c r="G380" t="s">
        <v>13</v>
      </c>
      <c r="H380" s="2">
        <v>46158</v>
      </c>
      <c r="I380" s="2">
        <v>46157</v>
      </c>
    </row>
    <row r="381" spans="1:9" x14ac:dyDescent="0.35">
      <c r="A381" t="s">
        <v>407</v>
      </c>
      <c r="B381" s="2">
        <v>46132</v>
      </c>
      <c r="C381" t="s">
        <v>34</v>
      </c>
      <c r="D381" t="s">
        <v>35</v>
      </c>
      <c r="E381" t="s">
        <v>22</v>
      </c>
      <c r="F381">
        <v>15</v>
      </c>
      <c r="G381" t="s">
        <v>13</v>
      </c>
      <c r="H381" s="2">
        <v>46135</v>
      </c>
      <c r="I381" s="2">
        <v>46135</v>
      </c>
    </row>
    <row r="382" spans="1:9" x14ac:dyDescent="0.35">
      <c r="A382" t="s">
        <v>408</v>
      </c>
      <c r="B382" s="2">
        <v>46177</v>
      </c>
      <c r="C382" t="s">
        <v>10</v>
      </c>
      <c r="D382" t="s">
        <v>11</v>
      </c>
      <c r="E382" t="s">
        <v>12</v>
      </c>
      <c r="F382">
        <v>21</v>
      </c>
      <c r="G382" t="s">
        <v>13</v>
      </c>
      <c r="H382" s="2">
        <v>46178</v>
      </c>
      <c r="I382" s="2">
        <v>46178</v>
      </c>
    </row>
    <row r="383" spans="1:9" x14ac:dyDescent="0.35">
      <c r="A383" t="s">
        <v>409</v>
      </c>
      <c r="B383" s="2">
        <v>46120</v>
      </c>
      <c r="C383" t="s">
        <v>34</v>
      </c>
      <c r="D383" t="s">
        <v>35</v>
      </c>
      <c r="E383" t="s">
        <v>32</v>
      </c>
      <c r="F383">
        <v>30</v>
      </c>
      <c r="G383" t="s">
        <v>13</v>
      </c>
      <c r="H383" s="2">
        <v>46121</v>
      </c>
      <c r="I383" s="2">
        <v>46121</v>
      </c>
    </row>
    <row r="384" spans="1:9" x14ac:dyDescent="0.35">
      <c r="A384" t="s">
        <v>410</v>
      </c>
      <c r="B384" s="2">
        <v>46128</v>
      </c>
      <c r="C384" t="s">
        <v>15</v>
      </c>
      <c r="D384" t="s">
        <v>16</v>
      </c>
      <c r="E384" t="s">
        <v>22</v>
      </c>
      <c r="F384">
        <v>10</v>
      </c>
      <c r="G384" t="s">
        <v>62</v>
      </c>
      <c r="H384" s="2">
        <v>46130</v>
      </c>
      <c r="I384" s="2">
        <v>46132</v>
      </c>
    </row>
    <row r="385" spans="1:9" x14ac:dyDescent="0.35">
      <c r="A385" t="s">
        <v>411</v>
      </c>
      <c r="B385" s="2">
        <v>46126</v>
      </c>
      <c r="C385" t="s">
        <v>34</v>
      </c>
      <c r="D385" t="s">
        <v>35</v>
      </c>
      <c r="E385" t="s">
        <v>22</v>
      </c>
      <c r="F385">
        <v>5</v>
      </c>
      <c r="G385" t="s">
        <v>13</v>
      </c>
      <c r="H385" s="2">
        <v>46127</v>
      </c>
      <c r="I385" s="2">
        <v>46127</v>
      </c>
    </row>
    <row r="386" spans="1:9" x14ac:dyDescent="0.35">
      <c r="A386" t="s">
        <v>412</v>
      </c>
      <c r="B386" s="2">
        <v>46188</v>
      </c>
      <c r="C386" t="s">
        <v>34</v>
      </c>
      <c r="D386" t="s">
        <v>35</v>
      </c>
      <c r="E386" t="s">
        <v>46</v>
      </c>
      <c r="F386">
        <v>26</v>
      </c>
      <c r="G386" t="s">
        <v>13</v>
      </c>
      <c r="H386" s="2">
        <v>46189</v>
      </c>
      <c r="I386" s="2">
        <v>46189</v>
      </c>
    </row>
    <row r="387" spans="1:9" x14ac:dyDescent="0.35">
      <c r="A387" t="s">
        <v>413</v>
      </c>
      <c r="B387" s="2">
        <v>46199</v>
      </c>
      <c r="C387" t="s">
        <v>19</v>
      </c>
      <c r="D387" t="s">
        <v>20</v>
      </c>
      <c r="E387" t="s">
        <v>17</v>
      </c>
      <c r="F387">
        <v>29</v>
      </c>
      <c r="G387" t="s">
        <v>13</v>
      </c>
      <c r="H387" s="2">
        <v>46202</v>
      </c>
      <c r="I387" s="2">
        <v>46202</v>
      </c>
    </row>
    <row r="388" spans="1:9" x14ac:dyDescent="0.35">
      <c r="A388" t="s">
        <v>414</v>
      </c>
      <c r="B388" s="2">
        <v>46127</v>
      </c>
      <c r="C388" t="s">
        <v>19</v>
      </c>
      <c r="D388" t="s">
        <v>20</v>
      </c>
      <c r="E388" t="s">
        <v>43</v>
      </c>
      <c r="F388">
        <v>5</v>
      </c>
      <c r="G388" t="s">
        <v>13</v>
      </c>
      <c r="H388" s="2">
        <v>46128</v>
      </c>
      <c r="I388" s="2">
        <v>46128</v>
      </c>
    </row>
    <row r="389" spans="1:9" x14ac:dyDescent="0.35">
      <c r="A389" t="s">
        <v>415</v>
      </c>
      <c r="B389" s="2">
        <v>46178</v>
      </c>
      <c r="C389" t="s">
        <v>34</v>
      </c>
      <c r="D389" t="s">
        <v>35</v>
      </c>
      <c r="E389" t="s">
        <v>55</v>
      </c>
      <c r="F389">
        <v>10</v>
      </c>
      <c r="G389" t="s">
        <v>62</v>
      </c>
      <c r="H389" s="2">
        <v>46181</v>
      </c>
      <c r="I389" s="2">
        <v>46183</v>
      </c>
    </row>
    <row r="390" spans="1:9" x14ac:dyDescent="0.35">
      <c r="A390" t="s">
        <v>416</v>
      </c>
      <c r="B390" s="2">
        <v>46144</v>
      </c>
      <c r="C390" t="s">
        <v>10</v>
      </c>
      <c r="D390" t="s">
        <v>11</v>
      </c>
      <c r="E390" t="s">
        <v>46</v>
      </c>
      <c r="F390">
        <v>28</v>
      </c>
      <c r="G390" t="s">
        <v>13</v>
      </c>
      <c r="H390" s="2">
        <v>46148</v>
      </c>
      <c r="I390" s="2">
        <v>46147</v>
      </c>
    </row>
    <row r="391" spans="1:9" x14ac:dyDescent="0.35">
      <c r="A391" t="s">
        <v>417</v>
      </c>
      <c r="B391" s="2">
        <v>46199</v>
      </c>
      <c r="C391" t="s">
        <v>10</v>
      </c>
      <c r="D391" t="s">
        <v>11</v>
      </c>
      <c r="E391" t="s">
        <v>32</v>
      </c>
      <c r="F391">
        <v>5</v>
      </c>
      <c r="G391" t="s">
        <v>13</v>
      </c>
      <c r="H391" s="2">
        <v>46200</v>
      </c>
      <c r="I391" s="2">
        <v>46200</v>
      </c>
    </row>
    <row r="392" spans="1:9" x14ac:dyDescent="0.35">
      <c r="A392" t="s">
        <v>418</v>
      </c>
      <c r="B392" s="2">
        <v>46175</v>
      </c>
      <c r="C392" t="s">
        <v>15</v>
      </c>
      <c r="D392" t="s">
        <v>16</v>
      </c>
      <c r="E392" t="s">
        <v>43</v>
      </c>
      <c r="F392">
        <v>3</v>
      </c>
      <c r="G392" t="s">
        <v>26</v>
      </c>
      <c r="H392" s="2">
        <v>46176</v>
      </c>
    </row>
    <row r="393" spans="1:9" x14ac:dyDescent="0.35">
      <c r="A393" t="s">
        <v>419</v>
      </c>
      <c r="B393" s="2">
        <v>46198</v>
      </c>
      <c r="C393" t="s">
        <v>19</v>
      </c>
      <c r="D393" t="s">
        <v>20</v>
      </c>
      <c r="E393" t="s">
        <v>32</v>
      </c>
      <c r="F393">
        <v>23</v>
      </c>
      <c r="G393" t="s">
        <v>13</v>
      </c>
      <c r="H393" s="2">
        <v>46201</v>
      </c>
      <c r="I393" s="2">
        <v>46201</v>
      </c>
    </row>
    <row r="394" spans="1:9" x14ac:dyDescent="0.35">
      <c r="A394" t="s">
        <v>420</v>
      </c>
      <c r="B394" s="2">
        <v>46163</v>
      </c>
      <c r="C394" t="s">
        <v>19</v>
      </c>
      <c r="D394" t="s">
        <v>20</v>
      </c>
      <c r="E394" t="s">
        <v>43</v>
      </c>
      <c r="F394">
        <v>6</v>
      </c>
      <c r="G394" t="s">
        <v>13</v>
      </c>
      <c r="H394" s="2">
        <v>46167</v>
      </c>
      <c r="I394" s="2">
        <v>46166</v>
      </c>
    </row>
    <row r="395" spans="1:9" x14ac:dyDescent="0.35">
      <c r="A395" t="s">
        <v>421</v>
      </c>
      <c r="B395" s="2">
        <v>46137</v>
      </c>
      <c r="C395" t="s">
        <v>34</v>
      </c>
      <c r="D395" t="s">
        <v>35</v>
      </c>
      <c r="E395" t="s">
        <v>17</v>
      </c>
      <c r="F395">
        <v>4</v>
      </c>
      <c r="G395" t="s">
        <v>13</v>
      </c>
      <c r="H395" s="2">
        <v>46139</v>
      </c>
      <c r="I395" s="2">
        <v>46138</v>
      </c>
    </row>
    <row r="396" spans="1:9" x14ac:dyDescent="0.35">
      <c r="A396" t="s">
        <v>422</v>
      </c>
      <c r="B396" s="2">
        <v>46170</v>
      </c>
      <c r="C396" t="s">
        <v>34</v>
      </c>
      <c r="D396" t="s">
        <v>35</v>
      </c>
      <c r="E396" t="s">
        <v>12</v>
      </c>
      <c r="F396">
        <v>18</v>
      </c>
      <c r="G396" t="s">
        <v>13</v>
      </c>
      <c r="H396" s="2">
        <v>46174</v>
      </c>
      <c r="I396" s="2">
        <v>46173</v>
      </c>
    </row>
    <row r="397" spans="1:9" x14ac:dyDescent="0.35">
      <c r="A397" t="s">
        <v>423</v>
      </c>
      <c r="B397" s="2">
        <v>46175</v>
      </c>
      <c r="C397" t="s">
        <v>15</v>
      </c>
      <c r="D397" t="s">
        <v>16</v>
      </c>
      <c r="E397" t="s">
        <v>32</v>
      </c>
      <c r="F397">
        <v>28</v>
      </c>
      <c r="G397" t="s">
        <v>62</v>
      </c>
      <c r="H397" s="2">
        <v>46178</v>
      </c>
      <c r="I397" s="2">
        <v>46181</v>
      </c>
    </row>
    <row r="398" spans="1:9" x14ac:dyDescent="0.35">
      <c r="A398" t="s">
        <v>424</v>
      </c>
      <c r="B398" s="2">
        <v>46174</v>
      </c>
      <c r="C398" t="s">
        <v>34</v>
      </c>
      <c r="D398" t="s">
        <v>35</v>
      </c>
      <c r="E398" t="s">
        <v>46</v>
      </c>
      <c r="F398">
        <v>9</v>
      </c>
      <c r="G398" t="s">
        <v>26</v>
      </c>
      <c r="H398" s="2">
        <v>46178</v>
      </c>
    </row>
    <row r="399" spans="1:9" x14ac:dyDescent="0.35">
      <c r="A399" t="s">
        <v>425</v>
      </c>
      <c r="B399" s="2">
        <v>46134</v>
      </c>
      <c r="C399" t="s">
        <v>15</v>
      </c>
      <c r="D399" t="s">
        <v>16</v>
      </c>
      <c r="E399" t="s">
        <v>43</v>
      </c>
      <c r="F399">
        <v>17</v>
      </c>
      <c r="G399" t="s">
        <v>13</v>
      </c>
      <c r="H399" s="2">
        <v>46137</v>
      </c>
      <c r="I399" s="2">
        <v>46136</v>
      </c>
    </row>
    <row r="400" spans="1:9" x14ac:dyDescent="0.35">
      <c r="A400" t="s">
        <v>426</v>
      </c>
      <c r="B400" s="2">
        <v>46170</v>
      </c>
      <c r="C400" t="s">
        <v>19</v>
      </c>
      <c r="D400" t="s">
        <v>20</v>
      </c>
      <c r="E400" t="s">
        <v>43</v>
      </c>
      <c r="F400">
        <v>29</v>
      </c>
      <c r="G400" t="s">
        <v>26</v>
      </c>
      <c r="H400" s="2">
        <v>46173</v>
      </c>
    </row>
    <row r="401" spans="1:9" x14ac:dyDescent="0.35">
      <c r="A401" t="s">
        <v>427</v>
      </c>
      <c r="B401" s="2">
        <v>46170</v>
      </c>
      <c r="C401" t="s">
        <v>15</v>
      </c>
      <c r="D401" t="s">
        <v>16</v>
      </c>
      <c r="E401" t="s">
        <v>22</v>
      </c>
      <c r="F401">
        <v>13</v>
      </c>
      <c r="G401" t="s">
        <v>13</v>
      </c>
      <c r="H401" s="2">
        <v>46172</v>
      </c>
      <c r="I401" s="2">
        <v>46172</v>
      </c>
    </row>
    <row r="402" spans="1:9" x14ac:dyDescent="0.35">
      <c r="A402" t="s">
        <v>428</v>
      </c>
      <c r="B402" s="2">
        <v>46198</v>
      </c>
      <c r="C402" t="s">
        <v>34</v>
      </c>
      <c r="D402" t="s">
        <v>35</v>
      </c>
      <c r="E402" t="s">
        <v>22</v>
      </c>
      <c r="F402">
        <v>27</v>
      </c>
      <c r="G402" t="s">
        <v>13</v>
      </c>
      <c r="H402" s="2">
        <v>46199</v>
      </c>
      <c r="I402" s="2">
        <v>46199</v>
      </c>
    </row>
    <row r="403" spans="1:9" x14ac:dyDescent="0.35">
      <c r="A403" t="s">
        <v>429</v>
      </c>
      <c r="B403" s="2">
        <v>46161</v>
      </c>
      <c r="C403" t="s">
        <v>19</v>
      </c>
      <c r="D403" t="s">
        <v>20</v>
      </c>
      <c r="E403" t="s">
        <v>24</v>
      </c>
      <c r="F403">
        <v>15</v>
      </c>
      <c r="G403" t="s">
        <v>13</v>
      </c>
      <c r="H403" s="2">
        <v>46164</v>
      </c>
      <c r="I403" s="2">
        <v>46163</v>
      </c>
    </row>
    <row r="404" spans="1:9" x14ac:dyDescent="0.35">
      <c r="A404" t="s">
        <v>430</v>
      </c>
      <c r="B404" s="2">
        <v>46164</v>
      </c>
      <c r="C404" t="s">
        <v>10</v>
      </c>
      <c r="D404" t="s">
        <v>11</v>
      </c>
      <c r="E404" t="s">
        <v>32</v>
      </c>
      <c r="F404">
        <v>30</v>
      </c>
      <c r="G404" t="s">
        <v>13</v>
      </c>
      <c r="H404" s="2">
        <v>46167</v>
      </c>
      <c r="I404" s="2">
        <v>46167</v>
      </c>
    </row>
    <row r="405" spans="1:9" x14ac:dyDescent="0.35">
      <c r="A405" t="s">
        <v>431</v>
      </c>
      <c r="B405" s="2">
        <v>46154</v>
      </c>
      <c r="C405" t="s">
        <v>15</v>
      </c>
      <c r="D405" t="s">
        <v>16</v>
      </c>
      <c r="E405" t="s">
        <v>22</v>
      </c>
      <c r="F405">
        <v>20</v>
      </c>
      <c r="G405" t="s">
        <v>13</v>
      </c>
      <c r="H405" s="2">
        <v>46156</v>
      </c>
      <c r="I405" s="2">
        <v>46155</v>
      </c>
    </row>
    <row r="406" spans="1:9" x14ac:dyDescent="0.35">
      <c r="A406" t="s">
        <v>432</v>
      </c>
      <c r="B406" s="2">
        <v>46182</v>
      </c>
      <c r="C406" t="s">
        <v>15</v>
      </c>
      <c r="D406" t="s">
        <v>16</v>
      </c>
      <c r="E406" t="s">
        <v>24</v>
      </c>
      <c r="F406">
        <v>17</v>
      </c>
      <c r="G406" t="s">
        <v>13</v>
      </c>
      <c r="H406" s="2">
        <v>46185</v>
      </c>
      <c r="I406" s="2">
        <v>46185</v>
      </c>
    </row>
    <row r="407" spans="1:9" x14ac:dyDescent="0.35">
      <c r="A407" t="s">
        <v>433</v>
      </c>
      <c r="B407" s="2">
        <v>46127</v>
      </c>
      <c r="C407" t="s">
        <v>15</v>
      </c>
      <c r="D407" t="s">
        <v>16</v>
      </c>
      <c r="E407" t="s">
        <v>12</v>
      </c>
      <c r="F407">
        <v>13</v>
      </c>
      <c r="G407" t="s">
        <v>62</v>
      </c>
      <c r="H407" s="2">
        <v>46128</v>
      </c>
      <c r="I407" s="2">
        <v>46132</v>
      </c>
    </row>
    <row r="408" spans="1:9" x14ac:dyDescent="0.35">
      <c r="A408" t="s">
        <v>434</v>
      </c>
      <c r="B408" s="2">
        <v>46166</v>
      </c>
      <c r="C408" t="s">
        <v>10</v>
      </c>
      <c r="D408" t="s">
        <v>11</v>
      </c>
      <c r="E408" t="s">
        <v>12</v>
      </c>
      <c r="F408">
        <v>16</v>
      </c>
      <c r="G408" t="s">
        <v>13</v>
      </c>
      <c r="H408" s="2">
        <v>46168</v>
      </c>
      <c r="I408" s="2">
        <v>46168</v>
      </c>
    </row>
    <row r="409" spans="1:9" x14ac:dyDescent="0.35">
      <c r="A409" t="s">
        <v>435</v>
      </c>
      <c r="B409" s="2">
        <v>46172</v>
      </c>
      <c r="C409" t="s">
        <v>15</v>
      </c>
      <c r="D409" t="s">
        <v>16</v>
      </c>
      <c r="E409" t="s">
        <v>22</v>
      </c>
      <c r="F409">
        <v>22</v>
      </c>
      <c r="G409" t="s">
        <v>13</v>
      </c>
      <c r="H409" s="2">
        <v>46173</v>
      </c>
      <c r="I409" s="2">
        <v>46173</v>
      </c>
    </row>
    <row r="410" spans="1:9" x14ac:dyDescent="0.35">
      <c r="A410" t="s">
        <v>436</v>
      </c>
      <c r="B410" s="2">
        <v>46120</v>
      </c>
      <c r="C410" t="s">
        <v>34</v>
      </c>
      <c r="D410" t="s">
        <v>35</v>
      </c>
      <c r="E410" t="s">
        <v>32</v>
      </c>
      <c r="F410">
        <v>4</v>
      </c>
      <c r="G410" t="s">
        <v>13</v>
      </c>
      <c r="H410" s="2">
        <v>46121</v>
      </c>
      <c r="I410" s="2">
        <v>46120</v>
      </c>
    </row>
    <row r="411" spans="1:9" x14ac:dyDescent="0.35">
      <c r="A411" t="s">
        <v>437</v>
      </c>
      <c r="B411" s="2">
        <v>46165</v>
      </c>
      <c r="C411" t="s">
        <v>19</v>
      </c>
      <c r="D411" t="s">
        <v>20</v>
      </c>
      <c r="E411" t="s">
        <v>43</v>
      </c>
      <c r="F411">
        <v>5</v>
      </c>
      <c r="G411" t="s">
        <v>13</v>
      </c>
      <c r="H411" s="2">
        <v>46167</v>
      </c>
      <c r="I411" s="2">
        <v>46166</v>
      </c>
    </row>
    <row r="412" spans="1:9" x14ac:dyDescent="0.35">
      <c r="A412" t="s">
        <v>438</v>
      </c>
      <c r="B412" s="2">
        <v>46172</v>
      </c>
      <c r="C412" t="s">
        <v>15</v>
      </c>
      <c r="D412" t="s">
        <v>16</v>
      </c>
      <c r="E412" t="s">
        <v>55</v>
      </c>
      <c r="F412">
        <v>5</v>
      </c>
      <c r="G412" t="s">
        <v>13</v>
      </c>
      <c r="H412" s="2">
        <v>46175</v>
      </c>
      <c r="I412" s="2">
        <v>46174</v>
      </c>
    </row>
    <row r="413" spans="1:9" x14ac:dyDescent="0.35">
      <c r="A413" t="s">
        <v>439</v>
      </c>
      <c r="B413" s="2">
        <v>46117</v>
      </c>
      <c r="C413" t="s">
        <v>19</v>
      </c>
      <c r="D413" t="s">
        <v>20</v>
      </c>
      <c r="E413" t="s">
        <v>17</v>
      </c>
      <c r="F413">
        <v>9</v>
      </c>
      <c r="G413" t="s">
        <v>13</v>
      </c>
      <c r="H413" s="2">
        <v>46118</v>
      </c>
      <c r="I413" s="2">
        <v>46117</v>
      </c>
    </row>
    <row r="414" spans="1:9" x14ac:dyDescent="0.35">
      <c r="A414" t="s">
        <v>440</v>
      </c>
      <c r="B414" s="2">
        <v>46180</v>
      </c>
      <c r="C414" t="s">
        <v>19</v>
      </c>
      <c r="D414" t="s">
        <v>20</v>
      </c>
      <c r="E414" t="s">
        <v>32</v>
      </c>
      <c r="F414">
        <v>17</v>
      </c>
      <c r="G414" t="s">
        <v>26</v>
      </c>
      <c r="H414" s="2">
        <v>46181</v>
      </c>
    </row>
    <row r="415" spans="1:9" x14ac:dyDescent="0.35">
      <c r="A415" t="s">
        <v>441</v>
      </c>
      <c r="B415" s="2">
        <v>46118</v>
      </c>
      <c r="C415" t="s">
        <v>15</v>
      </c>
      <c r="D415" t="s">
        <v>16</v>
      </c>
      <c r="E415" t="s">
        <v>17</v>
      </c>
      <c r="F415">
        <v>13</v>
      </c>
      <c r="G415" t="s">
        <v>13</v>
      </c>
      <c r="H415" s="2">
        <v>46119</v>
      </c>
      <c r="I415" s="2">
        <v>46119</v>
      </c>
    </row>
    <row r="416" spans="1:9" x14ac:dyDescent="0.35">
      <c r="A416" t="s">
        <v>442</v>
      </c>
      <c r="B416" s="2">
        <v>46159</v>
      </c>
      <c r="C416" t="s">
        <v>19</v>
      </c>
      <c r="D416" t="s">
        <v>20</v>
      </c>
      <c r="E416" t="s">
        <v>46</v>
      </c>
      <c r="F416">
        <v>2</v>
      </c>
      <c r="G416" t="s">
        <v>13</v>
      </c>
      <c r="H416" s="2">
        <v>46160</v>
      </c>
      <c r="I416" s="2">
        <v>46159</v>
      </c>
    </row>
    <row r="417" spans="1:9" x14ac:dyDescent="0.35">
      <c r="A417" t="s">
        <v>443</v>
      </c>
      <c r="B417" s="2">
        <v>46167</v>
      </c>
      <c r="C417" t="s">
        <v>34</v>
      </c>
      <c r="D417" t="s">
        <v>35</v>
      </c>
      <c r="E417" t="s">
        <v>12</v>
      </c>
      <c r="F417">
        <v>13</v>
      </c>
      <c r="G417" t="s">
        <v>13</v>
      </c>
      <c r="H417" s="2">
        <v>46169</v>
      </c>
      <c r="I417" s="2">
        <v>46168</v>
      </c>
    </row>
    <row r="418" spans="1:9" x14ac:dyDescent="0.35">
      <c r="A418" t="s">
        <v>444</v>
      </c>
      <c r="B418" s="2">
        <v>46152</v>
      </c>
      <c r="C418" t="s">
        <v>19</v>
      </c>
      <c r="D418" t="s">
        <v>20</v>
      </c>
      <c r="E418" t="s">
        <v>22</v>
      </c>
      <c r="F418">
        <v>22</v>
      </c>
      <c r="G418" t="s">
        <v>13</v>
      </c>
      <c r="H418" s="2">
        <v>46154</v>
      </c>
      <c r="I418" s="2">
        <v>46154</v>
      </c>
    </row>
    <row r="419" spans="1:9" x14ac:dyDescent="0.35">
      <c r="A419" t="s">
        <v>445</v>
      </c>
      <c r="B419" s="2">
        <v>46164</v>
      </c>
      <c r="C419" t="s">
        <v>10</v>
      </c>
      <c r="D419" t="s">
        <v>11</v>
      </c>
      <c r="E419" t="s">
        <v>22</v>
      </c>
      <c r="F419">
        <v>21</v>
      </c>
      <c r="G419" t="s">
        <v>13</v>
      </c>
      <c r="H419" s="2">
        <v>46168</v>
      </c>
      <c r="I419" s="2">
        <v>46167</v>
      </c>
    </row>
    <row r="420" spans="1:9" x14ac:dyDescent="0.35">
      <c r="A420" t="s">
        <v>446</v>
      </c>
      <c r="B420" s="2">
        <v>46128</v>
      </c>
      <c r="C420" t="s">
        <v>10</v>
      </c>
      <c r="D420" t="s">
        <v>11</v>
      </c>
      <c r="E420" t="s">
        <v>17</v>
      </c>
      <c r="F420">
        <v>27</v>
      </c>
      <c r="G420" t="s">
        <v>26</v>
      </c>
      <c r="H420" s="2">
        <v>46132</v>
      </c>
    </row>
    <row r="421" spans="1:9" x14ac:dyDescent="0.35">
      <c r="A421" t="s">
        <v>447</v>
      </c>
      <c r="B421" s="2">
        <v>46125</v>
      </c>
      <c r="C421" t="s">
        <v>10</v>
      </c>
      <c r="D421" t="s">
        <v>11</v>
      </c>
      <c r="E421" t="s">
        <v>43</v>
      </c>
      <c r="F421">
        <v>23</v>
      </c>
      <c r="G421" t="s">
        <v>13</v>
      </c>
      <c r="H421" s="2">
        <v>46126</v>
      </c>
      <c r="I421" s="2">
        <v>46125</v>
      </c>
    </row>
    <row r="422" spans="1:9" x14ac:dyDescent="0.35">
      <c r="A422" t="s">
        <v>448</v>
      </c>
      <c r="B422" s="2">
        <v>46142</v>
      </c>
      <c r="C422" t="s">
        <v>19</v>
      </c>
      <c r="D422" t="s">
        <v>20</v>
      </c>
      <c r="E422" t="s">
        <v>17</v>
      </c>
      <c r="F422">
        <v>19</v>
      </c>
      <c r="G422" t="s">
        <v>13</v>
      </c>
      <c r="H422" s="2">
        <v>46145</v>
      </c>
      <c r="I422" s="2">
        <v>46145</v>
      </c>
    </row>
    <row r="423" spans="1:9" x14ac:dyDescent="0.35">
      <c r="A423" t="s">
        <v>449</v>
      </c>
      <c r="B423" s="2">
        <v>46131</v>
      </c>
      <c r="C423" t="s">
        <v>10</v>
      </c>
      <c r="D423" t="s">
        <v>11</v>
      </c>
      <c r="E423" t="s">
        <v>46</v>
      </c>
      <c r="F423">
        <v>3</v>
      </c>
      <c r="G423" t="s">
        <v>13</v>
      </c>
      <c r="H423" s="2">
        <v>46132</v>
      </c>
      <c r="I423" s="2">
        <v>46131</v>
      </c>
    </row>
    <row r="424" spans="1:9" x14ac:dyDescent="0.35">
      <c r="A424" t="s">
        <v>450</v>
      </c>
      <c r="B424" s="2">
        <v>46129</v>
      </c>
      <c r="C424" t="s">
        <v>34</v>
      </c>
      <c r="D424" t="s">
        <v>35</v>
      </c>
      <c r="E424" t="s">
        <v>43</v>
      </c>
      <c r="F424">
        <v>10</v>
      </c>
      <c r="G424" t="s">
        <v>13</v>
      </c>
      <c r="H424" s="2">
        <v>46132</v>
      </c>
      <c r="I424" s="2">
        <v>46131</v>
      </c>
    </row>
    <row r="425" spans="1:9" x14ac:dyDescent="0.35">
      <c r="A425" t="s">
        <v>451</v>
      </c>
      <c r="B425" s="2">
        <v>46175</v>
      </c>
      <c r="C425" t="s">
        <v>19</v>
      </c>
      <c r="D425" t="s">
        <v>20</v>
      </c>
      <c r="E425" t="s">
        <v>46</v>
      </c>
      <c r="F425">
        <v>2</v>
      </c>
      <c r="G425" t="s">
        <v>13</v>
      </c>
      <c r="H425" s="2">
        <v>46176</v>
      </c>
      <c r="I425" s="2">
        <v>46175</v>
      </c>
    </row>
    <row r="426" spans="1:9" x14ac:dyDescent="0.35">
      <c r="A426" t="s">
        <v>452</v>
      </c>
      <c r="B426" s="2">
        <v>46131</v>
      </c>
      <c r="C426" t="s">
        <v>15</v>
      </c>
      <c r="D426" t="s">
        <v>16</v>
      </c>
      <c r="E426" t="s">
        <v>55</v>
      </c>
      <c r="F426">
        <v>13</v>
      </c>
      <c r="G426" t="s">
        <v>26</v>
      </c>
      <c r="H426" s="2">
        <v>46135</v>
      </c>
    </row>
    <row r="427" spans="1:9" x14ac:dyDescent="0.35">
      <c r="A427" t="s">
        <v>453</v>
      </c>
      <c r="B427" s="2">
        <v>46170</v>
      </c>
      <c r="C427" t="s">
        <v>15</v>
      </c>
      <c r="D427" t="s">
        <v>16</v>
      </c>
      <c r="E427" t="s">
        <v>12</v>
      </c>
      <c r="F427">
        <v>19</v>
      </c>
      <c r="G427" t="s">
        <v>13</v>
      </c>
      <c r="H427" s="2">
        <v>46174</v>
      </c>
      <c r="I427" s="2">
        <v>46173</v>
      </c>
    </row>
    <row r="428" spans="1:9" x14ac:dyDescent="0.35">
      <c r="A428" t="s">
        <v>454</v>
      </c>
      <c r="B428" s="2">
        <v>46167</v>
      </c>
      <c r="C428" t="s">
        <v>15</v>
      </c>
      <c r="D428" t="s">
        <v>16</v>
      </c>
      <c r="E428" t="s">
        <v>22</v>
      </c>
      <c r="F428">
        <v>26</v>
      </c>
      <c r="G428" t="s">
        <v>26</v>
      </c>
      <c r="H428" s="2">
        <v>46170</v>
      </c>
    </row>
    <row r="429" spans="1:9" x14ac:dyDescent="0.35">
      <c r="A429" t="s">
        <v>455</v>
      </c>
      <c r="B429" s="2">
        <v>46202</v>
      </c>
      <c r="C429" t="s">
        <v>34</v>
      </c>
      <c r="D429" t="s">
        <v>35</v>
      </c>
      <c r="E429" t="s">
        <v>22</v>
      </c>
      <c r="F429">
        <v>17</v>
      </c>
      <c r="G429" t="s">
        <v>13</v>
      </c>
      <c r="H429" s="2">
        <v>46203</v>
      </c>
      <c r="I429" s="2">
        <v>46202</v>
      </c>
    </row>
    <row r="430" spans="1:9" x14ac:dyDescent="0.35">
      <c r="A430" t="s">
        <v>456</v>
      </c>
      <c r="B430" s="2">
        <v>46202</v>
      </c>
      <c r="C430" t="s">
        <v>15</v>
      </c>
      <c r="D430" t="s">
        <v>16</v>
      </c>
      <c r="E430" t="s">
        <v>55</v>
      </c>
      <c r="F430">
        <v>21</v>
      </c>
      <c r="G430" t="s">
        <v>26</v>
      </c>
      <c r="H430" s="2">
        <v>46205</v>
      </c>
    </row>
    <row r="431" spans="1:9" x14ac:dyDescent="0.35">
      <c r="A431" t="s">
        <v>457</v>
      </c>
      <c r="B431" s="2">
        <v>46174</v>
      </c>
      <c r="C431" t="s">
        <v>19</v>
      </c>
      <c r="D431" t="s">
        <v>20</v>
      </c>
      <c r="E431" t="s">
        <v>24</v>
      </c>
      <c r="F431">
        <v>14</v>
      </c>
      <c r="G431" t="s">
        <v>13</v>
      </c>
      <c r="H431" s="2">
        <v>46178</v>
      </c>
      <c r="I431" s="2">
        <v>46177</v>
      </c>
    </row>
    <row r="432" spans="1:9" x14ac:dyDescent="0.35">
      <c r="A432" t="s">
        <v>458</v>
      </c>
      <c r="B432" s="2">
        <v>46135</v>
      </c>
      <c r="C432" t="s">
        <v>15</v>
      </c>
      <c r="D432" t="s">
        <v>16</v>
      </c>
      <c r="E432" t="s">
        <v>12</v>
      </c>
      <c r="F432">
        <v>12</v>
      </c>
      <c r="G432" t="s">
        <v>13</v>
      </c>
      <c r="H432" s="2">
        <v>46136</v>
      </c>
      <c r="I432" s="2">
        <v>46136</v>
      </c>
    </row>
    <row r="433" spans="1:9" x14ac:dyDescent="0.35">
      <c r="A433" t="s">
        <v>459</v>
      </c>
      <c r="B433" s="2">
        <v>46121</v>
      </c>
      <c r="C433" t="s">
        <v>10</v>
      </c>
      <c r="D433" t="s">
        <v>11</v>
      </c>
      <c r="E433" t="s">
        <v>43</v>
      </c>
      <c r="F433">
        <v>21</v>
      </c>
      <c r="G433" t="s">
        <v>13</v>
      </c>
      <c r="H433" s="2">
        <v>46122</v>
      </c>
      <c r="I433" s="2">
        <v>46121</v>
      </c>
    </row>
    <row r="434" spans="1:9" x14ac:dyDescent="0.35">
      <c r="A434" t="s">
        <v>460</v>
      </c>
      <c r="B434" s="2">
        <v>46124</v>
      </c>
      <c r="C434" t="s">
        <v>15</v>
      </c>
      <c r="D434" t="s">
        <v>16</v>
      </c>
      <c r="E434" t="s">
        <v>55</v>
      </c>
      <c r="F434">
        <v>12</v>
      </c>
      <c r="G434" t="s">
        <v>62</v>
      </c>
      <c r="H434" s="2">
        <v>46127</v>
      </c>
      <c r="I434" s="2">
        <v>46128</v>
      </c>
    </row>
    <row r="435" spans="1:9" x14ac:dyDescent="0.35">
      <c r="A435" t="s">
        <v>461</v>
      </c>
      <c r="B435" s="2">
        <v>46113</v>
      </c>
      <c r="C435" t="s">
        <v>19</v>
      </c>
      <c r="D435" t="s">
        <v>20</v>
      </c>
      <c r="E435" t="s">
        <v>43</v>
      </c>
      <c r="F435">
        <v>11</v>
      </c>
      <c r="G435" t="s">
        <v>13</v>
      </c>
      <c r="H435" s="2">
        <v>46115</v>
      </c>
      <c r="I435" s="2">
        <v>46115</v>
      </c>
    </row>
    <row r="436" spans="1:9" x14ac:dyDescent="0.35">
      <c r="A436" t="s">
        <v>462</v>
      </c>
      <c r="B436" s="2">
        <v>46170</v>
      </c>
      <c r="C436" t="s">
        <v>19</v>
      </c>
      <c r="D436" t="s">
        <v>20</v>
      </c>
      <c r="E436" t="s">
        <v>17</v>
      </c>
      <c r="F436">
        <v>7</v>
      </c>
      <c r="G436" t="s">
        <v>13</v>
      </c>
      <c r="H436" s="2">
        <v>46173</v>
      </c>
      <c r="I436" s="2">
        <v>46173</v>
      </c>
    </row>
    <row r="437" spans="1:9" x14ac:dyDescent="0.35">
      <c r="A437" t="s">
        <v>463</v>
      </c>
      <c r="B437" s="2">
        <v>46113</v>
      </c>
      <c r="C437" t="s">
        <v>34</v>
      </c>
      <c r="D437" t="s">
        <v>35</v>
      </c>
      <c r="E437" t="s">
        <v>32</v>
      </c>
      <c r="F437">
        <v>4</v>
      </c>
      <c r="G437" t="s">
        <v>13</v>
      </c>
      <c r="H437" s="2">
        <v>46117</v>
      </c>
      <c r="I437" s="2">
        <v>46117</v>
      </c>
    </row>
    <row r="438" spans="1:9" x14ac:dyDescent="0.35">
      <c r="A438" t="s">
        <v>464</v>
      </c>
      <c r="B438" s="2">
        <v>46146</v>
      </c>
      <c r="C438" t="s">
        <v>19</v>
      </c>
      <c r="D438" t="s">
        <v>20</v>
      </c>
      <c r="E438" t="s">
        <v>22</v>
      </c>
      <c r="F438">
        <v>19</v>
      </c>
      <c r="G438" t="s">
        <v>26</v>
      </c>
      <c r="H438" s="2">
        <v>46150</v>
      </c>
    </row>
    <row r="439" spans="1:9" x14ac:dyDescent="0.35">
      <c r="A439" t="s">
        <v>465</v>
      </c>
      <c r="B439" s="2">
        <v>46160</v>
      </c>
      <c r="C439" t="s">
        <v>15</v>
      </c>
      <c r="D439" t="s">
        <v>16</v>
      </c>
      <c r="E439" t="s">
        <v>43</v>
      </c>
      <c r="F439">
        <v>1</v>
      </c>
      <c r="G439" t="s">
        <v>13</v>
      </c>
      <c r="H439" s="2">
        <v>46164</v>
      </c>
      <c r="I439" s="2">
        <v>46163</v>
      </c>
    </row>
    <row r="440" spans="1:9" x14ac:dyDescent="0.35">
      <c r="A440" t="s">
        <v>466</v>
      </c>
      <c r="B440" s="2">
        <v>46201</v>
      </c>
      <c r="C440" t="s">
        <v>19</v>
      </c>
      <c r="D440" t="s">
        <v>20</v>
      </c>
      <c r="E440" t="s">
        <v>46</v>
      </c>
      <c r="F440">
        <v>28</v>
      </c>
      <c r="G440" t="s">
        <v>26</v>
      </c>
      <c r="H440" s="2">
        <v>46205</v>
      </c>
    </row>
    <row r="441" spans="1:9" x14ac:dyDescent="0.35">
      <c r="A441" t="s">
        <v>467</v>
      </c>
      <c r="B441" s="2">
        <v>46113</v>
      </c>
      <c r="C441" t="s">
        <v>15</v>
      </c>
      <c r="D441" t="s">
        <v>16</v>
      </c>
      <c r="E441" t="s">
        <v>43</v>
      </c>
      <c r="F441">
        <v>24</v>
      </c>
      <c r="G441" t="s">
        <v>13</v>
      </c>
      <c r="H441" s="2">
        <v>46117</v>
      </c>
      <c r="I441" s="2">
        <v>46116</v>
      </c>
    </row>
    <row r="442" spans="1:9" x14ac:dyDescent="0.35">
      <c r="A442" t="s">
        <v>468</v>
      </c>
      <c r="B442" s="2">
        <v>46128</v>
      </c>
      <c r="C442" t="s">
        <v>19</v>
      </c>
      <c r="D442" t="s">
        <v>20</v>
      </c>
      <c r="E442" t="s">
        <v>32</v>
      </c>
      <c r="F442">
        <v>29</v>
      </c>
      <c r="G442" t="s">
        <v>13</v>
      </c>
      <c r="H442" s="2">
        <v>46130</v>
      </c>
      <c r="I442" s="2">
        <v>46129</v>
      </c>
    </row>
    <row r="443" spans="1:9" x14ac:dyDescent="0.35">
      <c r="A443" t="s">
        <v>469</v>
      </c>
      <c r="B443" s="2">
        <v>46173</v>
      </c>
      <c r="C443" t="s">
        <v>15</v>
      </c>
      <c r="D443" t="s">
        <v>16</v>
      </c>
      <c r="E443" t="s">
        <v>12</v>
      </c>
      <c r="F443">
        <v>3</v>
      </c>
      <c r="G443" t="s">
        <v>13</v>
      </c>
      <c r="H443" s="2">
        <v>46174</v>
      </c>
      <c r="I443" s="2">
        <v>46174</v>
      </c>
    </row>
    <row r="444" spans="1:9" x14ac:dyDescent="0.35">
      <c r="A444" t="s">
        <v>470</v>
      </c>
      <c r="B444" s="2">
        <v>46176</v>
      </c>
      <c r="C444" t="s">
        <v>10</v>
      </c>
      <c r="D444" t="s">
        <v>11</v>
      </c>
      <c r="E444" t="s">
        <v>22</v>
      </c>
      <c r="F444">
        <v>13</v>
      </c>
      <c r="G444" t="s">
        <v>62</v>
      </c>
      <c r="H444" s="2">
        <v>46179</v>
      </c>
      <c r="I444" s="2">
        <v>46181</v>
      </c>
    </row>
    <row r="445" spans="1:9" x14ac:dyDescent="0.35">
      <c r="A445" t="s">
        <v>471</v>
      </c>
      <c r="B445" s="2">
        <v>46175</v>
      </c>
      <c r="C445" t="s">
        <v>10</v>
      </c>
      <c r="D445" t="s">
        <v>11</v>
      </c>
      <c r="E445" t="s">
        <v>17</v>
      </c>
      <c r="F445">
        <v>15</v>
      </c>
      <c r="G445" t="s">
        <v>13</v>
      </c>
      <c r="H445" s="2">
        <v>46178</v>
      </c>
      <c r="I445" s="2">
        <v>46177</v>
      </c>
    </row>
    <row r="446" spans="1:9" x14ac:dyDescent="0.35">
      <c r="A446" t="s">
        <v>472</v>
      </c>
      <c r="B446" s="2">
        <v>46181</v>
      </c>
      <c r="C446" t="s">
        <v>15</v>
      </c>
      <c r="D446" t="s">
        <v>16</v>
      </c>
      <c r="E446" t="s">
        <v>55</v>
      </c>
      <c r="F446">
        <v>2</v>
      </c>
      <c r="G446" t="s">
        <v>62</v>
      </c>
      <c r="H446" s="2">
        <v>46185</v>
      </c>
      <c r="I446" s="2">
        <v>46187</v>
      </c>
    </row>
    <row r="447" spans="1:9" x14ac:dyDescent="0.35">
      <c r="A447" t="s">
        <v>473</v>
      </c>
      <c r="B447" s="2">
        <v>46134</v>
      </c>
      <c r="C447" t="s">
        <v>15</v>
      </c>
      <c r="D447" t="s">
        <v>16</v>
      </c>
      <c r="E447" t="s">
        <v>17</v>
      </c>
      <c r="F447">
        <v>11</v>
      </c>
      <c r="G447" t="s">
        <v>13</v>
      </c>
      <c r="H447" s="2">
        <v>46137</v>
      </c>
      <c r="I447" s="2">
        <v>46137</v>
      </c>
    </row>
    <row r="448" spans="1:9" x14ac:dyDescent="0.35">
      <c r="A448" t="s">
        <v>474</v>
      </c>
      <c r="B448" s="2">
        <v>46179</v>
      </c>
      <c r="C448" t="s">
        <v>15</v>
      </c>
      <c r="D448" t="s">
        <v>16</v>
      </c>
      <c r="E448" t="s">
        <v>32</v>
      </c>
      <c r="F448">
        <v>4</v>
      </c>
      <c r="G448" t="s">
        <v>13</v>
      </c>
      <c r="H448" s="2">
        <v>46183</v>
      </c>
      <c r="I448" s="2">
        <v>46183</v>
      </c>
    </row>
    <row r="449" spans="1:9" x14ac:dyDescent="0.35">
      <c r="A449" t="s">
        <v>475</v>
      </c>
      <c r="B449" s="2">
        <v>46188</v>
      </c>
      <c r="C449" t="s">
        <v>34</v>
      </c>
      <c r="D449" t="s">
        <v>35</v>
      </c>
      <c r="E449" t="s">
        <v>22</v>
      </c>
      <c r="F449">
        <v>19</v>
      </c>
      <c r="G449" t="s">
        <v>13</v>
      </c>
      <c r="H449" s="2">
        <v>46190</v>
      </c>
      <c r="I449" s="2">
        <v>46189</v>
      </c>
    </row>
    <row r="450" spans="1:9" x14ac:dyDescent="0.35">
      <c r="A450" t="s">
        <v>476</v>
      </c>
      <c r="B450" s="2">
        <v>46138</v>
      </c>
      <c r="C450" t="s">
        <v>10</v>
      </c>
      <c r="D450" t="s">
        <v>11</v>
      </c>
      <c r="E450" t="s">
        <v>43</v>
      </c>
      <c r="F450">
        <v>29</v>
      </c>
      <c r="G450" t="s">
        <v>13</v>
      </c>
      <c r="H450" s="2">
        <v>46140</v>
      </c>
      <c r="I450" s="2">
        <v>46140</v>
      </c>
    </row>
    <row r="451" spans="1:9" x14ac:dyDescent="0.35">
      <c r="A451" t="s">
        <v>477</v>
      </c>
      <c r="B451" s="2">
        <v>46128</v>
      </c>
      <c r="C451" t="s">
        <v>15</v>
      </c>
      <c r="D451" t="s">
        <v>16</v>
      </c>
      <c r="E451" t="s">
        <v>12</v>
      </c>
      <c r="F451">
        <v>17</v>
      </c>
      <c r="G451" t="s">
        <v>26</v>
      </c>
      <c r="H451" s="2">
        <v>46129</v>
      </c>
    </row>
    <row r="452" spans="1:9" x14ac:dyDescent="0.35">
      <c r="A452" t="s">
        <v>478</v>
      </c>
      <c r="B452" s="2">
        <v>46163</v>
      </c>
      <c r="C452" t="s">
        <v>34</v>
      </c>
      <c r="D452" t="s">
        <v>35</v>
      </c>
      <c r="E452" t="s">
        <v>24</v>
      </c>
      <c r="F452">
        <v>3</v>
      </c>
      <c r="G452" t="s">
        <v>62</v>
      </c>
      <c r="H452" s="2">
        <v>46165</v>
      </c>
      <c r="I452" s="2">
        <v>46168</v>
      </c>
    </row>
    <row r="453" spans="1:9" x14ac:dyDescent="0.35">
      <c r="A453" t="s">
        <v>479</v>
      </c>
      <c r="B453" s="2">
        <v>46198</v>
      </c>
      <c r="C453" t="s">
        <v>15</v>
      </c>
      <c r="D453" t="s">
        <v>16</v>
      </c>
      <c r="E453" t="s">
        <v>12</v>
      </c>
      <c r="F453">
        <v>28</v>
      </c>
      <c r="G453" t="s">
        <v>26</v>
      </c>
      <c r="H453" s="2">
        <v>46200</v>
      </c>
    </row>
    <row r="454" spans="1:9" x14ac:dyDescent="0.35">
      <c r="A454" t="s">
        <v>480</v>
      </c>
      <c r="B454" s="2">
        <v>46169</v>
      </c>
      <c r="C454" t="s">
        <v>19</v>
      </c>
      <c r="D454" t="s">
        <v>20</v>
      </c>
      <c r="E454" t="s">
        <v>24</v>
      </c>
      <c r="F454">
        <v>18</v>
      </c>
      <c r="G454" t="s">
        <v>26</v>
      </c>
      <c r="H454" s="2">
        <v>46170</v>
      </c>
    </row>
    <row r="455" spans="1:9" x14ac:dyDescent="0.35">
      <c r="A455" t="s">
        <v>481</v>
      </c>
      <c r="B455" s="2">
        <v>46141</v>
      </c>
      <c r="C455" t="s">
        <v>15</v>
      </c>
      <c r="D455" t="s">
        <v>16</v>
      </c>
      <c r="E455" t="s">
        <v>46</v>
      </c>
      <c r="F455">
        <v>8</v>
      </c>
      <c r="G455" t="s">
        <v>13</v>
      </c>
      <c r="H455" s="2">
        <v>46144</v>
      </c>
      <c r="I455" s="2">
        <v>46143</v>
      </c>
    </row>
    <row r="456" spans="1:9" x14ac:dyDescent="0.35">
      <c r="A456" t="s">
        <v>482</v>
      </c>
      <c r="B456" s="2">
        <v>46190</v>
      </c>
      <c r="C456" t="s">
        <v>15</v>
      </c>
      <c r="D456" t="s">
        <v>16</v>
      </c>
      <c r="E456" t="s">
        <v>12</v>
      </c>
      <c r="F456">
        <v>22</v>
      </c>
      <c r="G456" t="s">
        <v>13</v>
      </c>
      <c r="H456" s="2">
        <v>46194</v>
      </c>
      <c r="I456" s="2">
        <v>46194</v>
      </c>
    </row>
    <row r="457" spans="1:9" x14ac:dyDescent="0.35">
      <c r="A457" t="s">
        <v>483</v>
      </c>
      <c r="B457" s="2">
        <v>46181</v>
      </c>
      <c r="C457" t="s">
        <v>15</v>
      </c>
      <c r="D457" t="s">
        <v>16</v>
      </c>
      <c r="E457" t="s">
        <v>22</v>
      </c>
      <c r="F457">
        <v>25</v>
      </c>
      <c r="G457" t="s">
        <v>62</v>
      </c>
      <c r="H457" s="2">
        <v>46185</v>
      </c>
      <c r="I457" s="2">
        <v>46186</v>
      </c>
    </row>
    <row r="458" spans="1:9" x14ac:dyDescent="0.35">
      <c r="A458" t="s">
        <v>484</v>
      </c>
      <c r="B458" s="2">
        <v>46159</v>
      </c>
      <c r="C458" t="s">
        <v>34</v>
      </c>
      <c r="D458" t="s">
        <v>35</v>
      </c>
      <c r="E458" t="s">
        <v>24</v>
      </c>
      <c r="F458">
        <v>24</v>
      </c>
      <c r="G458" t="s">
        <v>13</v>
      </c>
      <c r="H458" s="2">
        <v>46162</v>
      </c>
      <c r="I458" s="2">
        <v>46161</v>
      </c>
    </row>
    <row r="459" spans="1:9" x14ac:dyDescent="0.35">
      <c r="A459" t="s">
        <v>485</v>
      </c>
      <c r="B459" s="2">
        <v>46174</v>
      </c>
      <c r="C459" t="s">
        <v>19</v>
      </c>
      <c r="D459" t="s">
        <v>20</v>
      </c>
      <c r="E459" t="s">
        <v>55</v>
      </c>
      <c r="F459">
        <v>26</v>
      </c>
      <c r="G459" t="s">
        <v>13</v>
      </c>
      <c r="H459" s="2">
        <v>46175</v>
      </c>
      <c r="I459" s="2">
        <v>46175</v>
      </c>
    </row>
    <row r="460" spans="1:9" x14ac:dyDescent="0.35">
      <c r="A460" t="s">
        <v>486</v>
      </c>
      <c r="B460" s="2">
        <v>46181</v>
      </c>
      <c r="C460" t="s">
        <v>34</v>
      </c>
      <c r="D460" t="s">
        <v>35</v>
      </c>
      <c r="E460" t="s">
        <v>22</v>
      </c>
      <c r="F460">
        <v>19</v>
      </c>
      <c r="G460" t="s">
        <v>13</v>
      </c>
      <c r="H460" s="2">
        <v>46184</v>
      </c>
      <c r="I460" s="2">
        <v>46184</v>
      </c>
    </row>
    <row r="461" spans="1:9" x14ac:dyDescent="0.35">
      <c r="A461" t="s">
        <v>487</v>
      </c>
      <c r="B461" s="2">
        <v>46188</v>
      </c>
      <c r="C461" t="s">
        <v>15</v>
      </c>
      <c r="D461" t="s">
        <v>16</v>
      </c>
      <c r="E461" t="s">
        <v>55</v>
      </c>
      <c r="F461">
        <v>5</v>
      </c>
      <c r="G461" t="s">
        <v>13</v>
      </c>
      <c r="H461" s="2">
        <v>46190</v>
      </c>
      <c r="I461" s="2">
        <v>46190</v>
      </c>
    </row>
    <row r="462" spans="1:9" x14ac:dyDescent="0.35">
      <c r="A462" t="s">
        <v>488</v>
      </c>
      <c r="B462" s="2">
        <v>46128</v>
      </c>
      <c r="C462" t="s">
        <v>10</v>
      </c>
      <c r="D462" t="s">
        <v>11</v>
      </c>
      <c r="E462" t="s">
        <v>12</v>
      </c>
      <c r="F462">
        <v>7</v>
      </c>
      <c r="G462" t="s">
        <v>62</v>
      </c>
      <c r="H462" s="2">
        <v>46129</v>
      </c>
      <c r="I462" s="2">
        <v>46132</v>
      </c>
    </row>
    <row r="463" spans="1:9" x14ac:dyDescent="0.35">
      <c r="A463" t="s">
        <v>489</v>
      </c>
      <c r="B463" s="2">
        <v>46202</v>
      </c>
      <c r="C463" t="s">
        <v>19</v>
      </c>
      <c r="D463" t="s">
        <v>20</v>
      </c>
      <c r="E463" t="s">
        <v>55</v>
      </c>
      <c r="F463">
        <v>21</v>
      </c>
      <c r="G463" t="s">
        <v>13</v>
      </c>
      <c r="H463" s="2">
        <v>46203</v>
      </c>
      <c r="I463" s="2">
        <v>46203</v>
      </c>
    </row>
    <row r="464" spans="1:9" x14ac:dyDescent="0.35">
      <c r="A464" t="s">
        <v>490</v>
      </c>
      <c r="B464" s="2">
        <v>46202</v>
      </c>
      <c r="C464" t="s">
        <v>15</v>
      </c>
      <c r="D464" t="s">
        <v>16</v>
      </c>
      <c r="E464" t="s">
        <v>24</v>
      </c>
      <c r="F464">
        <v>8</v>
      </c>
      <c r="G464" t="s">
        <v>13</v>
      </c>
      <c r="H464" s="2">
        <v>46203</v>
      </c>
      <c r="I464" s="2">
        <v>46203</v>
      </c>
    </row>
    <row r="465" spans="1:9" x14ac:dyDescent="0.35">
      <c r="A465" t="s">
        <v>491</v>
      </c>
      <c r="B465" s="2">
        <v>46160</v>
      </c>
      <c r="C465" t="s">
        <v>19</v>
      </c>
      <c r="D465" t="s">
        <v>20</v>
      </c>
      <c r="E465" t="s">
        <v>22</v>
      </c>
      <c r="F465">
        <v>28</v>
      </c>
      <c r="G465" t="s">
        <v>13</v>
      </c>
      <c r="H465" s="2">
        <v>46164</v>
      </c>
      <c r="I465" s="2">
        <v>46164</v>
      </c>
    </row>
    <row r="466" spans="1:9" x14ac:dyDescent="0.35">
      <c r="A466" t="s">
        <v>492</v>
      </c>
      <c r="B466" s="2">
        <v>46197</v>
      </c>
      <c r="C466" t="s">
        <v>19</v>
      </c>
      <c r="D466" t="s">
        <v>20</v>
      </c>
      <c r="E466" t="s">
        <v>43</v>
      </c>
      <c r="F466">
        <v>5</v>
      </c>
      <c r="G466" t="s">
        <v>13</v>
      </c>
      <c r="H466" s="2">
        <v>46200</v>
      </c>
      <c r="I466" s="2">
        <v>46200</v>
      </c>
    </row>
    <row r="467" spans="1:9" x14ac:dyDescent="0.35">
      <c r="A467" t="s">
        <v>493</v>
      </c>
      <c r="B467" s="2">
        <v>46151</v>
      </c>
      <c r="C467" t="s">
        <v>15</v>
      </c>
      <c r="D467" t="s">
        <v>16</v>
      </c>
      <c r="E467" t="s">
        <v>32</v>
      </c>
      <c r="F467">
        <v>17</v>
      </c>
      <c r="G467" t="s">
        <v>13</v>
      </c>
      <c r="H467" s="2">
        <v>46152</v>
      </c>
      <c r="I467" s="2">
        <v>46151</v>
      </c>
    </row>
    <row r="468" spans="1:9" x14ac:dyDescent="0.35">
      <c r="A468" t="s">
        <v>494</v>
      </c>
      <c r="B468" s="2">
        <v>46145</v>
      </c>
      <c r="C468" t="s">
        <v>19</v>
      </c>
      <c r="D468" t="s">
        <v>20</v>
      </c>
      <c r="E468" t="s">
        <v>24</v>
      </c>
      <c r="F468">
        <v>5</v>
      </c>
      <c r="G468" t="s">
        <v>13</v>
      </c>
      <c r="H468" s="2">
        <v>46146</v>
      </c>
      <c r="I468" s="2">
        <v>46145</v>
      </c>
    </row>
    <row r="469" spans="1:9" x14ac:dyDescent="0.35">
      <c r="A469" t="s">
        <v>495</v>
      </c>
      <c r="B469" s="2">
        <v>46135</v>
      </c>
      <c r="C469" t="s">
        <v>10</v>
      </c>
      <c r="D469" t="s">
        <v>11</v>
      </c>
      <c r="E469" t="s">
        <v>24</v>
      </c>
      <c r="F469">
        <v>4</v>
      </c>
      <c r="G469" t="s">
        <v>26</v>
      </c>
      <c r="H469" s="2">
        <v>46136</v>
      </c>
    </row>
    <row r="470" spans="1:9" x14ac:dyDescent="0.35">
      <c r="A470" t="s">
        <v>496</v>
      </c>
      <c r="B470" s="2">
        <v>46122</v>
      </c>
      <c r="C470" t="s">
        <v>34</v>
      </c>
      <c r="D470" t="s">
        <v>35</v>
      </c>
      <c r="E470" t="s">
        <v>43</v>
      </c>
      <c r="F470">
        <v>22</v>
      </c>
      <c r="G470" t="s">
        <v>62</v>
      </c>
      <c r="H470" s="2">
        <v>46125</v>
      </c>
      <c r="I470" s="2">
        <v>46127</v>
      </c>
    </row>
    <row r="471" spans="1:9" x14ac:dyDescent="0.35">
      <c r="A471" t="s">
        <v>497</v>
      </c>
      <c r="B471" s="2">
        <v>46181</v>
      </c>
      <c r="C471" t="s">
        <v>15</v>
      </c>
      <c r="D471" t="s">
        <v>16</v>
      </c>
      <c r="E471" t="s">
        <v>22</v>
      </c>
      <c r="F471">
        <v>19</v>
      </c>
      <c r="G471" t="s">
        <v>13</v>
      </c>
      <c r="H471" s="2">
        <v>46185</v>
      </c>
      <c r="I471" s="2">
        <v>46184</v>
      </c>
    </row>
    <row r="472" spans="1:9" x14ac:dyDescent="0.35">
      <c r="A472" t="s">
        <v>498</v>
      </c>
      <c r="B472" s="2">
        <v>46146</v>
      </c>
      <c r="C472" t="s">
        <v>15</v>
      </c>
      <c r="D472" t="s">
        <v>16</v>
      </c>
      <c r="E472" t="s">
        <v>22</v>
      </c>
      <c r="F472">
        <v>27</v>
      </c>
      <c r="G472" t="s">
        <v>13</v>
      </c>
      <c r="H472" s="2">
        <v>46148</v>
      </c>
      <c r="I472" s="2">
        <v>46148</v>
      </c>
    </row>
    <row r="473" spans="1:9" x14ac:dyDescent="0.35">
      <c r="A473" t="s">
        <v>499</v>
      </c>
      <c r="B473" s="2">
        <v>46164</v>
      </c>
      <c r="C473" t="s">
        <v>19</v>
      </c>
      <c r="D473" t="s">
        <v>20</v>
      </c>
      <c r="E473" t="s">
        <v>17</v>
      </c>
      <c r="F473">
        <v>21</v>
      </c>
      <c r="G473" t="s">
        <v>62</v>
      </c>
      <c r="H473" s="2">
        <v>46168</v>
      </c>
      <c r="I473" s="2">
        <v>46172</v>
      </c>
    </row>
    <row r="474" spans="1:9" x14ac:dyDescent="0.35">
      <c r="A474" t="s">
        <v>500</v>
      </c>
      <c r="B474" s="2">
        <v>46122</v>
      </c>
      <c r="C474" t="s">
        <v>19</v>
      </c>
      <c r="D474" t="s">
        <v>20</v>
      </c>
      <c r="E474" t="s">
        <v>12</v>
      </c>
      <c r="F474">
        <v>2</v>
      </c>
      <c r="G474" t="s">
        <v>13</v>
      </c>
      <c r="H474" s="2">
        <v>46123</v>
      </c>
      <c r="I474" s="2">
        <v>46122</v>
      </c>
    </row>
    <row r="475" spans="1:9" x14ac:dyDescent="0.35">
      <c r="A475" t="s">
        <v>501</v>
      </c>
      <c r="B475" s="2">
        <v>46131</v>
      </c>
      <c r="C475" t="s">
        <v>10</v>
      </c>
      <c r="D475" t="s">
        <v>11</v>
      </c>
      <c r="E475" t="s">
        <v>55</v>
      </c>
      <c r="F475">
        <v>11</v>
      </c>
      <c r="G475" t="s">
        <v>13</v>
      </c>
      <c r="H475" s="2">
        <v>46135</v>
      </c>
      <c r="I475" s="2">
        <v>46135</v>
      </c>
    </row>
    <row r="476" spans="1:9" x14ac:dyDescent="0.35">
      <c r="A476" t="s">
        <v>502</v>
      </c>
      <c r="B476" s="2">
        <v>46170</v>
      </c>
      <c r="C476" t="s">
        <v>34</v>
      </c>
      <c r="D476" t="s">
        <v>35</v>
      </c>
      <c r="E476" t="s">
        <v>12</v>
      </c>
      <c r="F476">
        <v>22</v>
      </c>
      <c r="G476" t="s">
        <v>13</v>
      </c>
      <c r="H476" s="2">
        <v>46174</v>
      </c>
      <c r="I476" s="2">
        <v>46174</v>
      </c>
    </row>
    <row r="477" spans="1:9" x14ac:dyDescent="0.35">
      <c r="A477" t="s">
        <v>503</v>
      </c>
      <c r="B477" s="2">
        <v>46113</v>
      </c>
      <c r="C477" t="s">
        <v>10</v>
      </c>
      <c r="D477" t="s">
        <v>11</v>
      </c>
      <c r="E477" t="s">
        <v>43</v>
      </c>
      <c r="F477">
        <v>13</v>
      </c>
      <c r="G477" t="s">
        <v>13</v>
      </c>
      <c r="H477" s="2">
        <v>46115</v>
      </c>
      <c r="I477" s="2">
        <v>46115</v>
      </c>
    </row>
    <row r="478" spans="1:9" x14ac:dyDescent="0.35">
      <c r="A478" t="s">
        <v>504</v>
      </c>
      <c r="B478" s="2">
        <v>46181</v>
      </c>
      <c r="C478" t="s">
        <v>10</v>
      </c>
      <c r="D478" t="s">
        <v>11</v>
      </c>
      <c r="E478" t="s">
        <v>12</v>
      </c>
      <c r="F478">
        <v>15</v>
      </c>
      <c r="G478" t="s">
        <v>13</v>
      </c>
      <c r="H478" s="2">
        <v>46184</v>
      </c>
      <c r="I478" s="2">
        <v>46184</v>
      </c>
    </row>
    <row r="479" spans="1:9" x14ac:dyDescent="0.35">
      <c r="A479" t="s">
        <v>505</v>
      </c>
      <c r="B479" s="2">
        <v>46116</v>
      </c>
      <c r="C479" t="s">
        <v>34</v>
      </c>
      <c r="D479" t="s">
        <v>35</v>
      </c>
      <c r="E479" t="s">
        <v>43</v>
      </c>
      <c r="F479">
        <v>12</v>
      </c>
      <c r="G479" t="s">
        <v>62</v>
      </c>
      <c r="H479" s="2">
        <v>46119</v>
      </c>
      <c r="I479" s="2">
        <v>46122</v>
      </c>
    </row>
    <row r="480" spans="1:9" x14ac:dyDescent="0.35">
      <c r="A480" t="s">
        <v>506</v>
      </c>
      <c r="B480" s="2">
        <v>46128</v>
      </c>
      <c r="C480" t="s">
        <v>15</v>
      </c>
      <c r="D480" t="s">
        <v>16</v>
      </c>
      <c r="E480" t="s">
        <v>22</v>
      </c>
      <c r="F480">
        <v>22</v>
      </c>
      <c r="G480" t="s">
        <v>13</v>
      </c>
      <c r="H480" s="2">
        <v>46132</v>
      </c>
      <c r="I480" s="2">
        <v>46131</v>
      </c>
    </row>
    <row r="481" spans="1:9" x14ac:dyDescent="0.35">
      <c r="A481" t="s">
        <v>507</v>
      </c>
      <c r="B481" s="2">
        <v>46136</v>
      </c>
      <c r="C481" t="s">
        <v>19</v>
      </c>
      <c r="D481" t="s">
        <v>20</v>
      </c>
      <c r="E481" t="s">
        <v>55</v>
      </c>
      <c r="F481">
        <v>21</v>
      </c>
      <c r="G481" t="s">
        <v>13</v>
      </c>
      <c r="H481" s="2">
        <v>46140</v>
      </c>
      <c r="I481" s="2">
        <v>46140</v>
      </c>
    </row>
    <row r="482" spans="1:9" x14ac:dyDescent="0.35">
      <c r="A482" t="s">
        <v>508</v>
      </c>
      <c r="B482" s="2">
        <v>46192</v>
      </c>
      <c r="C482" t="s">
        <v>34</v>
      </c>
      <c r="D482" t="s">
        <v>35</v>
      </c>
      <c r="E482" t="s">
        <v>12</v>
      </c>
      <c r="F482">
        <v>22</v>
      </c>
      <c r="G482" t="s">
        <v>13</v>
      </c>
      <c r="H482" s="2">
        <v>46195</v>
      </c>
      <c r="I482" s="2">
        <v>46194</v>
      </c>
    </row>
    <row r="483" spans="1:9" x14ac:dyDescent="0.35">
      <c r="A483" t="s">
        <v>509</v>
      </c>
      <c r="B483" s="2">
        <v>46114</v>
      </c>
      <c r="C483" t="s">
        <v>19</v>
      </c>
      <c r="D483" t="s">
        <v>20</v>
      </c>
      <c r="E483" t="s">
        <v>24</v>
      </c>
      <c r="F483">
        <v>11</v>
      </c>
      <c r="G483" t="s">
        <v>13</v>
      </c>
      <c r="H483" s="2">
        <v>46117</v>
      </c>
      <c r="I483" s="2">
        <v>46116</v>
      </c>
    </row>
    <row r="484" spans="1:9" x14ac:dyDescent="0.35">
      <c r="A484" t="s">
        <v>510</v>
      </c>
      <c r="B484" s="2">
        <v>46144</v>
      </c>
      <c r="C484" t="s">
        <v>15</v>
      </c>
      <c r="D484" t="s">
        <v>16</v>
      </c>
      <c r="E484" t="s">
        <v>46</v>
      </c>
      <c r="F484">
        <v>7</v>
      </c>
      <c r="G484" t="s">
        <v>13</v>
      </c>
      <c r="H484" s="2">
        <v>46146</v>
      </c>
      <c r="I484" s="2">
        <v>46146</v>
      </c>
    </row>
    <row r="485" spans="1:9" x14ac:dyDescent="0.35">
      <c r="A485" t="s">
        <v>511</v>
      </c>
      <c r="B485" s="2">
        <v>46203</v>
      </c>
      <c r="C485" t="s">
        <v>15</v>
      </c>
      <c r="D485" t="s">
        <v>16</v>
      </c>
      <c r="E485" t="s">
        <v>17</v>
      </c>
      <c r="F485">
        <v>28</v>
      </c>
      <c r="G485" t="s">
        <v>26</v>
      </c>
      <c r="H485" s="2">
        <v>46204</v>
      </c>
    </row>
    <row r="486" spans="1:9" x14ac:dyDescent="0.35">
      <c r="A486" t="s">
        <v>512</v>
      </c>
      <c r="B486" s="2">
        <v>46196</v>
      </c>
      <c r="C486" t="s">
        <v>15</v>
      </c>
      <c r="D486" t="s">
        <v>16</v>
      </c>
      <c r="E486" t="s">
        <v>32</v>
      </c>
      <c r="F486">
        <v>5</v>
      </c>
      <c r="G486" t="s">
        <v>26</v>
      </c>
      <c r="H486" s="2">
        <v>46200</v>
      </c>
    </row>
    <row r="487" spans="1:9" x14ac:dyDescent="0.35">
      <c r="A487" t="s">
        <v>513</v>
      </c>
      <c r="B487" s="2">
        <v>46136</v>
      </c>
      <c r="C487" t="s">
        <v>34</v>
      </c>
      <c r="D487" t="s">
        <v>35</v>
      </c>
      <c r="E487" t="s">
        <v>24</v>
      </c>
      <c r="F487">
        <v>17</v>
      </c>
      <c r="G487" t="s">
        <v>13</v>
      </c>
      <c r="H487" s="2">
        <v>46139</v>
      </c>
      <c r="I487" s="2">
        <v>46138</v>
      </c>
    </row>
    <row r="488" spans="1:9" x14ac:dyDescent="0.35">
      <c r="A488" t="s">
        <v>514</v>
      </c>
      <c r="B488" s="2">
        <v>46124</v>
      </c>
      <c r="C488" t="s">
        <v>19</v>
      </c>
      <c r="D488" t="s">
        <v>20</v>
      </c>
      <c r="E488" t="s">
        <v>22</v>
      </c>
      <c r="F488">
        <v>24</v>
      </c>
      <c r="G488" t="s">
        <v>62</v>
      </c>
      <c r="H488" s="2">
        <v>46128</v>
      </c>
      <c r="I488" s="2">
        <v>46132</v>
      </c>
    </row>
    <row r="489" spans="1:9" x14ac:dyDescent="0.35">
      <c r="A489" t="s">
        <v>515</v>
      </c>
      <c r="B489" s="2">
        <v>46162</v>
      </c>
      <c r="C489" t="s">
        <v>15</v>
      </c>
      <c r="D489" t="s">
        <v>16</v>
      </c>
      <c r="E489" t="s">
        <v>32</v>
      </c>
      <c r="F489">
        <v>20</v>
      </c>
      <c r="G489" t="s">
        <v>26</v>
      </c>
      <c r="H489" s="2">
        <v>46166</v>
      </c>
    </row>
    <row r="490" spans="1:9" x14ac:dyDescent="0.35">
      <c r="A490" t="s">
        <v>516</v>
      </c>
      <c r="B490" s="2">
        <v>46147</v>
      </c>
      <c r="C490" t="s">
        <v>19</v>
      </c>
      <c r="D490" t="s">
        <v>20</v>
      </c>
      <c r="E490" t="s">
        <v>46</v>
      </c>
      <c r="F490">
        <v>9</v>
      </c>
      <c r="G490" t="s">
        <v>26</v>
      </c>
      <c r="H490" s="2">
        <v>46150</v>
      </c>
    </row>
    <row r="491" spans="1:9" x14ac:dyDescent="0.35">
      <c r="A491" t="s">
        <v>517</v>
      </c>
      <c r="B491" s="2">
        <v>46145</v>
      </c>
      <c r="C491" t="s">
        <v>34</v>
      </c>
      <c r="D491" t="s">
        <v>35</v>
      </c>
      <c r="E491" t="s">
        <v>46</v>
      </c>
      <c r="F491">
        <v>14</v>
      </c>
      <c r="G491" t="s">
        <v>13</v>
      </c>
      <c r="H491" s="2">
        <v>46147</v>
      </c>
      <c r="I491" s="2">
        <v>46147</v>
      </c>
    </row>
    <row r="492" spans="1:9" x14ac:dyDescent="0.35">
      <c r="A492" t="s">
        <v>518</v>
      </c>
      <c r="B492" s="2">
        <v>46145</v>
      </c>
      <c r="C492" t="s">
        <v>19</v>
      </c>
      <c r="D492" t="s">
        <v>20</v>
      </c>
      <c r="E492" t="s">
        <v>55</v>
      </c>
      <c r="F492">
        <v>26</v>
      </c>
      <c r="G492" t="s">
        <v>13</v>
      </c>
      <c r="H492" s="2">
        <v>46149</v>
      </c>
      <c r="I492" s="2">
        <v>46148</v>
      </c>
    </row>
    <row r="493" spans="1:9" x14ac:dyDescent="0.35">
      <c r="A493" t="s">
        <v>519</v>
      </c>
      <c r="B493" s="2">
        <v>46173</v>
      </c>
      <c r="C493" t="s">
        <v>15</v>
      </c>
      <c r="D493" t="s">
        <v>16</v>
      </c>
      <c r="E493" t="s">
        <v>32</v>
      </c>
      <c r="F493">
        <v>12</v>
      </c>
      <c r="G493" t="s">
        <v>13</v>
      </c>
      <c r="H493" s="2">
        <v>46175</v>
      </c>
      <c r="I493" s="2">
        <v>46174</v>
      </c>
    </row>
    <row r="494" spans="1:9" x14ac:dyDescent="0.35">
      <c r="A494" t="s">
        <v>520</v>
      </c>
      <c r="B494" s="2">
        <v>46163</v>
      </c>
      <c r="C494" t="s">
        <v>19</v>
      </c>
      <c r="D494" t="s">
        <v>20</v>
      </c>
      <c r="E494" t="s">
        <v>55</v>
      </c>
      <c r="F494">
        <v>6</v>
      </c>
      <c r="G494" t="s">
        <v>13</v>
      </c>
      <c r="H494" s="2">
        <v>46166</v>
      </c>
      <c r="I494" s="2">
        <v>46165</v>
      </c>
    </row>
    <row r="495" spans="1:9" x14ac:dyDescent="0.35">
      <c r="A495" t="s">
        <v>521</v>
      </c>
      <c r="B495" s="2">
        <v>46155</v>
      </c>
      <c r="C495" t="s">
        <v>19</v>
      </c>
      <c r="D495" t="s">
        <v>20</v>
      </c>
      <c r="E495" t="s">
        <v>24</v>
      </c>
      <c r="F495">
        <v>17</v>
      </c>
      <c r="G495" t="s">
        <v>13</v>
      </c>
      <c r="H495" s="2">
        <v>46156</v>
      </c>
      <c r="I495" s="2">
        <v>46156</v>
      </c>
    </row>
    <row r="496" spans="1:9" x14ac:dyDescent="0.35">
      <c r="A496" t="s">
        <v>522</v>
      </c>
      <c r="B496" s="2">
        <v>46124</v>
      </c>
      <c r="C496" t="s">
        <v>15</v>
      </c>
      <c r="D496" t="s">
        <v>16</v>
      </c>
      <c r="E496" t="s">
        <v>43</v>
      </c>
      <c r="F496">
        <v>19</v>
      </c>
      <c r="G496" t="s">
        <v>13</v>
      </c>
      <c r="H496" s="2">
        <v>46125</v>
      </c>
      <c r="I496" s="2">
        <v>46125</v>
      </c>
    </row>
    <row r="497" spans="1:9" x14ac:dyDescent="0.35">
      <c r="A497" t="s">
        <v>523</v>
      </c>
      <c r="B497" s="2">
        <v>46179</v>
      </c>
      <c r="C497" t="s">
        <v>15</v>
      </c>
      <c r="D497" t="s">
        <v>16</v>
      </c>
      <c r="E497" t="s">
        <v>43</v>
      </c>
      <c r="F497">
        <v>19</v>
      </c>
      <c r="G497" t="s">
        <v>26</v>
      </c>
      <c r="H497" s="2">
        <v>46183</v>
      </c>
    </row>
    <row r="498" spans="1:9" x14ac:dyDescent="0.35">
      <c r="A498" t="s">
        <v>524</v>
      </c>
      <c r="B498" s="2">
        <v>46177</v>
      </c>
      <c r="C498" t="s">
        <v>19</v>
      </c>
      <c r="D498" t="s">
        <v>20</v>
      </c>
      <c r="E498" t="s">
        <v>43</v>
      </c>
      <c r="F498">
        <v>26</v>
      </c>
      <c r="G498" t="s">
        <v>26</v>
      </c>
      <c r="H498" s="2">
        <v>46180</v>
      </c>
    </row>
    <row r="499" spans="1:9" x14ac:dyDescent="0.35">
      <c r="A499" t="s">
        <v>525</v>
      </c>
      <c r="B499" s="2">
        <v>46145</v>
      </c>
      <c r="C499" t="s">
        <v>19</v>
      </c>
      <c r="D499" t="s">
        <v>20</v>
      </c>
      <c r="E499" t="s">
        <v>32</v>
      </c>
      <c r="F499">
        <v>16</v>
      </c>
      <c r="G499" t="s">
        <v>62</v>
      </c>
      <c r="H499" s="2">
        <v>46147</v>
      </c>
      <c r="I499" s="2">
        <v>46150</v>
      </c>
    </row>
    <row r="500" spans="1:9" x14ac:dyDescent="0.35">
      <c r="A500" t="s">
        <v>526</v>
      </c>
      <c r="B500" s="2">
        <v>46152</v>
      </c>
      <c r="C500" t="s">
        <v>15</v>
      </c>
      <c r="D500" t="s">
        <v>16</v>
      </c>
      <c r="E500" t="s">
        <v>43</v>
      </c>
      <c r="F500">
        <v>12</v>
      </c>
      <c r="G500" t="s">
        <v>13</v>
      </c>
      <c r="H500" s="2">
        <v>46156</v>
      </c>
      <c r="I500" s="2">
        <v>46155</v>
      </c>
    </row>
    <row r="501" spans="1:9" x14ac:dyDescent="0.35">
      <c r="A501" t="s">
        <v>527</v>
      </c>
      <c r="B501" s="2">
        <v>46186</v>
      </c>
      <c r="C501" t="s">
        <v>10</v>
      </c>
      <c r="D501" t="s">
        <v>11</v>
      </c>
      <c r="E501" t="s">
        <v>24</v>
      </c>
      <c r="F501">
        <v>12</v>
      </c>
      <c r="G501" t="s">
        <v>13</v>
      </c>
      <c r="H501" s="2">
        <v>46189</v>
      </c>
      <c r="I501" s="2">
        <v>46189</v>
      </c>
    </row>
    <row r="502" spans="1:9" x14ac:dyDescent="0.35">
      <c r="A502" t="s">
        <v>528</v>
      </c>
      <c r="B502" s="2">
        <v>46155</v>
      </c>
      <c r="C502" t="s">
        <v>19</v>
      </c>
      <c r="D502" t="s">
        <v>20</v>
      </c>
      <c r="E502" t="s">
        <v>55</v>
      </c>
      <c r="F502">
        <v>20</v>
      </c>
      <c r="G502" t="s">
        <v>13</v>
      </c>
      <c r="H502" s="2">
        <v>46158</v>
      </c>
      <c r="I502" s="2">
        <v>46157</v>
      </c>
    </row>
    <row r="503" spans="1:9" x14ac:dyDescent="0.35">
      <c r="A503" t="s">
        <v>529</v>
      </c>
      <c r="B503" s="2">
        <v>46156</v>
      </c>
      <c r="C503" t="s">
        <v>19</v>
      </c>
      <c r="D503" t="s">
        <v>20</v>
      </c>
      <c r="E503" t="s">
        <v>32</v>
      </c>
      <c r="F503">
        <v>6</v>
      </c>
      <c r="G503" t="s">
        <v>13</v>
      </c>
      <c r="H503" s="2">
        <v>46158</v>
      </c>
      <c r="I503" s="2">
        <v>46158</v>
      </c>
    </row>
    <row r="504" spans="1:9" x14ac:dyDescent="0.35">
      <c r="A504" t="s">
        <v>530</v>
      </c>
      <c r="B504" s="2">
        <v>46141</v>
      </c>
      <c r="C504" t="s">
        <v>19</v>
      </c>
      <c r="D504" t="s">
        <v>20</v>
      </c>
      <c r="E504" t="s">
        <v>55</v>
      </c>
      <c r="F504">
        <v>23</v>
      </c>
      <c r="G504" t="s">
        <v>13</v>
      </c>
      <c r="H504" s="2">
        <v>46145</v>
      </c>
      <c r="I504" s="2">
        <v>46144</v>
      </c>
    </row>
    <row r="505" spans="1:9" x14ac:dyDescent="0.35">
      <c r="A505" t="s">
        <v>531</v>
      </c>
      <c r="B505" s="2">
        <v>46125</v>
      </c>
      <c r="C505" t="s">
        <v>19</v>
      </c>
      <c r="D505" t="s">
        <v>20</v>
      </c>
      <c r="E505" t="s">
        <v>32</v>
      </c>
      <c r="F505">
        <v>26</v>
      </c>
      <c r="G505" t="s">
        <v>13</v>
      </c>
      <c r="H505" s="2">
        <v>46128</v>
      </c>
      <c r="I505" s="2">
        <v>46128</v>
      </c>
    </row>
    <row r="506" spans="1:9" x14ac:dyDescent="0.35">
      <c r="A506" t="s">
        <v>532</v>
      </c>
      <c r="B506" s="2">
        <v>46124</v>
      </c>
      <c r="C506" t="s">
        <v>34</v>
      </c>
      <c r="D506" t="s">
        <v>35</v>
      </c>
      <c r="E506" t="s">
        <v>55</v>
      </c>
      <c r="F506">
        <v>4</v>
      </c>
      <c r="G506" t="s">
        <v>13</v>
      </c>
      <c r="H506" s="2">
        <v>46127</v>
      </c>
      <c r="I506" s="2">
        <v>46127</v>
      </c>
    </row>
    <row r="507" spans="1:9" x14ac:dyDescent="0.35">
      <c r="A507" t="s">
        <v>533</v>
      </c>
      <c r="B507" s="2">
        <v>46158</v>
      </c>
      <c r="C507" t="s">
        <v>34</v>
      </c>
      <c r="D507" t="s">
        <v>35</v>
      </c>
      <c r="E507" t="s">
        <v>46</v>
      </c>
      <c r="F507">
        <v>6</v>
      </c>
      <c r="G507" t="s">
        <v>26</v>
      </c>
      <c r="H507" s="2">
        <v>46161</v>
      </c>
    </row>
    <row r="508" spans="1:9" x14ac:dyDescent="0.35">
      <c r="A508" t="s">
        <v>534</v>
      </c>
      <c r="B508" s="2">
        <v>46114</v>
      </c>
      <c r="C508" t="s">
        <v>34</v>
      </c>
      <c r="D508" t="s">
        <v>35</v>
      </c>
      <c r="E508" t="s">
        <v>55</v>
      </c>
      <c r="F508">
        <v>11</v>
      </c>
      <c r="G508" t="s">
        <v>13</v>
      </c>
      <c r="H508" s="2">
        <v>46116</v>
      </c>
      <c r="I508" s="2">
        <v>46115</v>
      </c>
    </row>
    <row r="509" spans="1:9" x14ac:dyDescent="0.35">
      <c r="A509" t="s">
        <v>535</v>
      </c>
      <c r="B509" s="2">
        <v>46147</v>
      </c>
      <c r="C509" t="s">
        <v>10</v>
      </c>
      <c r="D509" t="s">
        <v>11</v>
      </c>
      <c r="E509" t="s">
        <v>43</v>
      </c>
      <c r="F509">
        <v>1</v>
      </c>
      <c r="G509" t="s">
        <v>26</v>
      </c>
      <c r="H509" s="2">
        <v>46151</v>
      </c>
    </row>
    <row r="510" spans="1:9" x14ac:dyDescent="0.35">
      <c r="A510" t="s">
        <v>536</v>
      </c>
      <c r="B510" s="2">
        <v>46199</v>
      </c>
      <c r="C510" t="s">
        <v>10</v>
      </c>
      <c r="D510" t="s">
        <v>11</v>
      </c>
      <c r="E510" t="s">
        <v>46</v>
      </c>
      <c r="F510">
        <v>30</v>
      </c>
      <c r="G510" t="s">
        <v>13</v>
      </c>
      <c r="H510" s="2">
        <v>46203</v>
      </c>
      <c r="I510" s="2">
        <v>46203</v>
      </c>
    </row>
    <row r="511" spans="1:9" x14ac:dyDescent="0.35">
      <c r="A511" t="s">
        <v>537</v>
      </c>
      <c r="B511" s="2">
        <v>46193</v>
      </c>
      <c r="C511" t="s">
        <v>15</v>
      </c>
      <c r="D511" t="s">
        <v>16</v>
      </c>
      <c r="E511" t="s">
        <v>55</v>
      </c>
      <c r="F511">
        <v>24</v>
      </c>
      <c r="G511" t="s">
        <v>13</v>
      </c>
      <c r="H511" s="2">
        <v>46197</v>
      </c>
      <c r="I511" s="2">
        <v>46196</v>
      </c>
    </row>
    <row r="512" spans="1:9" x14ac:dyDescent="0.35">
      <c r="A512" t="s">
        <v>538</v>
      </c>
      <c r="B512" s="2">
        <v>46202</v>
      </c>
      <c r="C512" t="s">
        <v>19</v>
      </c>
      <c r="D512" t="s">
        <v>20</v>
      </c>
      <c r="E512" t="s">
        <v>32</v>
      </c>
      <c r="F512">
        <v>23</v>
      </c>
      <c r="G512" t="s">
        <v>13</v>
      </c>
      <c r="H512" s="2">
        <v>46206</v>
      </c>
      <c r="I512" s="2">
        <v>46206</v>
      </c>
    </row>
    <row r="513" spans="1:9" x14ac:dyDescent="0.35">
      <c r="A513" t="s">
        <v>539</v>
      </c>
      <c r="B513" s="2">
        <v>46120</v>
      </c>
      <c r="C513" t="s">
        <v>10</v>
      </c>
      <c r="D513" t="s">
        <v>11</v>
      </c>
      <c r="E513" t="s">
        <v>32</v>
      </c>
      <c r="F513">
        <v>15</v>
      </c>
      <c r="G513" t="s">
        <v>13</v>
      </c>
      <c r="H513" s="2">
        <v>46121</v>
      </c>
      <c r="I513" s="2">
        <v>46121</v>
      </c>
    </row>
    <row r="514" spans="1:9" x14ac:dyDescent="0.35">
      <c r="A514" t="s">
        <v>540</v>
      </c>
      <c r="B514" s="2">
        <v>46138</v>
      </c>
      <c r="C514" t="s">
        <v>10</v>
      </c>
      <c r="D514" t="s">
        <v>11</v>
      </c>
      <c r="E514" t="s">
        <v>17</v>
      </c>
      <c r="F514">
        <v>27</v>
      </c>
      <c r="G514" t="s">
        <v>13</v>
      </c>
      <c r="H514" s="2">
        <v>46139</v>
      </c>
      <c r="I514" s="2">
        <v>46138</v>
      </c>
    </row>
    <row r="515" spans="1:9" x14ac:dyDescent="0.35">
      <c r="A515" t="s">
        <v>541</v>
      </c>
      <c r="B515" s="2">
        <v>46186</v>
      </c>
      <c r="C515" t="s">
        <v>34</v>
      </c>
      <c r="D515" t="s">
        <v>35</v>
      </c>
      <c r="E515" t="s">
        <v>32</v>
      </c>
      <c r="F515">
        <v>11</v>
      </c>
      <c r="G515" t="s">
        <v>13</v>
      </c>
      <c r="H515" s="2">
        <v>46190</v>
      </c>
      <c r="I515" s="2">
        <v>46189</v>
      </c>
    </row>
    <row r="516" spans="1:9" x14ac:dyDescent="0.35">
      <c r="A516" t="s">
        <v>542</v>
      </c>
      <c r="B516" s="2">
        <v>46202</v>
      </c>
      <c r="C516" t="s">
        <v>10</v>
      </c>
      <c r="D516" t="s">
        <v>11</v>
      </c>
      <c r="E516" t="s">
        <v>22</v>
      </c>
      <c r="F516">
        <v>25</v>
      </c>
      <c r="G516" t="s">
        <v>13</v>
      </c>
      <c r="H516" s="2">
        <v>46204</v>
      </c>
      <c r="I516" s="2">
        <v>46203</v>
      </c>
    </row>
    <row r="517" spans="1:9" x14ac:dyDescent="0.35">
      <c r="A517" t="s">
        <v>543</v>
      </c>
      <c r="B517" s="2">
        <v>46146</v>
      </c>
      <c r="C517" t="s">
        <v>15</v>
      </c>
      <c r="D517" t="s">
        <v>16</v>
      </c>
      <c r="E517" t="s">
        <v>24</v>
      </c>
      <c r="F517">
        <v>19</v>
      </c>
      <c r="G517" t="s">
        <v>13</v>
      </c>
      <c r="H517" s="2">
        <v>46147</v>
      </c>
      <c r="I517" s="2">
        <v>46147</v>
      </c>
    </row>
    <row r="518" spans="1:9" x14ac:dyDescent="0.35">
      <c r="A518" t="s">
        <v>544</v>
      </c>
      <c r="B518" s="2">
        <v>46119</v>
      </c>
      <c r="C518" t="s">
        <v>15</v>
      </c>
      <c r="D518" t="s">
        <v>16</v>
      </c>
      <c r="E518" t="s">
        <v>32</v>
      </c>
      <c r="F518">
        <v>18</v>
      </c>
      <c r="G518" t="s">
        <v>13</v>
      </c>
      <c r="H518" s="2">
        <v>46122</v>
      </c>
      <c r="I518" s="2">
        <v>46121</v>
      </c>
    </row>
    <row r="519" spans="1:9" x14ac:dyDescent="0.35">
      <c r="A519" t="s">
        <v>545</v>
      </c>
      <c r="B519" s="2">
        <v>46180</v>
      </c>
      <c r="C519" t="s">
        <v>15</v>
      </c>
      <c r="D519" t="s">
        <v>16</v>
      </c>
      <c r="E519" t="s">
        <v>46</v>
      </c>
      <c r="F519">
        <v>17</v>
      </c>
      <c r="G519" t="s">
        <v>62</v>
      </c>
      <c r="H519" s="2">
        <v>46181</v>
      </c>
      <c r="I519" s="2">
        <v>46184</v>
      </c>
    </row>
    <row r="520" spans="1:9" x14ac:dyDescent="0.35">
      <c r="A520" t="s">
        <v>546</v>
      </c>
      <c r="B520" s="2">
        <v>46170</v>
      </c>
      <c r="C520" t="s">
        <v>15</v>
      </c>
      <c r="D520" t="s">
        <v>16</v>
      </c>
      <c r="E520" t="s">
        <v>17</v>
      </c>
      <c r="F520">
        <v>19</v>
      </c>
      <c r="G520" t="s">
        <v>13</v>
      </c>
      <c r="H520" s="2">
        <v>46173</v>
      </c>
      <c r="I520" s="2">
        <v>46172</v>
      </c>
    </row>
    <row r="521" spans="1:9" x14ac:dyDescent="0.35">
      <c r="A521" t="s">
        <v>547</v>
      </c>
      <c r="B521" s="2">
        <v>46187</v>
      </c>
      <c r="C521" t="s">
        <v>34</v>
      </c>
      <c r="D521" t="s">
        <v>35</v>
      </c>
      <c r="E521" t="s">
        <v>32</v>
      </c>
      <c r="F521">
        <v>21</v>
      </c>
      <c r="G521" t="s">
        <v>26</v>
      </c>
      <c r="H521" s="2">
        <v>46191</v>
      </c>
    </row>
    <row r="522" spans="1:9" x14ac:dyDescent="0.35">
      <c r="A522" t="s">
        <v>548</v>
      </c>
      <c r="B522" s="2">
        <v>46141</v>
      </c>
      <c r="C522" t="s">
        <v>34</v>
      </c>
      <c r="D522" t="s">
        <v>35</v>
      </c>
      <c r="E522" t="s">
        <v>22</v>
      </c>
      <c r="F522">
        <v>14</v>
      </c>
      <c r="G522" t="s">
        <v>13</v>
      </c>
      <c r="H522" s="2">
        <v>46142</v>
      </c>
      <c r="I522" s="2">
        <v>46141</v>
      </c>
    </row>
    <row r="523" spans="1:9" x14ac:dyDescent="0.35">
      <c r="A523" t="s">
        <v>549</v>
      </c>
      <c r="B523" s="2">
        <v>46148</v>
      </c>
      <c r="C523" t="s">
        <v>15</v>
      </c>
      <c r="D523" t="s">
        <v>16</v>
      </c>
      <c r="E523" t="s">
        <v>43</v>
      </c>
      <c r="F523">
        <v>27</v>
      </c>
      <c r="G523" t="s">
        <v>62</v>
      </c>
      <c r="H523" s="2">
        <v>46150</v>
      </c>
      <c r="I523" s="2">
        <v>46152</v>
      </c>
    </row>
    <row r="524" spans="1:9" x14ac:dyDescent="0.35">
      <c r="A524" t="s">
        <v>550</v>
      </c>
      <c r="B524" s="2">
        <v>46201</v>
      </c>
      <c r="C524" t="s">
        <v>19</v>
      </c>
      <c r="D524" t="s">
        <v>20</v>
      </c>
      <c r="E524" t="s">
        <v>46</v>
      </c>
      <c r="F524">
        <v>18</v>
      </c>
      <c r="G524" t="s">
        <v>26</v>
      </c>
      <c r="H524" s="2">
        <v>46202</v>
      </c>
    </row>
    <row r="525" spans="1:9" x14ac:dyDescent="0.35">
      <c r="A525" t="s">
        <v>551</v>
      </c>
      <c r="B525" s="2">
        <v>46133</v>
      </c>
      <c r="C525" t="s">
        <v>15</v>
      </c>
      <c r="D525" t="s">
        <v>16</v>
      </c>
      <c r="E525" t="s">
        <v>22</v>
      </c>
      <c r="F525">
        <v>28</v>
      </c>
      <c r="G525" t="s">
        <v>13</v>
      </c>
      <c r="H525" s="2">
        <v>46134</v>
      </c>
      <c r="I525" s="2">
        <v>46133</v>
      </c>
    </row>
    <row r="526" spans="1:9" x14ac:dyDescent="0.35">
      <c r="A526" t="s">
        <v>552</v>
      </c>
      <c r="B526" s="2">
        <v>46148</v>
      </c>
      <c r="C526" t="s">
        <v>19</v>
      </c>
      <c r="D526" t="s">
        <v>20</v>
      </c>
      <c r="E526" t="s">
        <v>43</v>
      </c>
      <c r="F526">
        <v>19</v>
      </c>
      <c r="G526" t="s">
        <v>13</v>
      </c>
      <c r="H526" s="2">
        <v>46149</v>
      </c>
      <c r="I526" s="2">
        <v>46148</v>
      </c>
    </row>
    <row r="527" spans="1:9" x14ac:dyDescent="0.35">
      <c r="A527" t="s">
        <v>553</v>
      </c>
      <c r="B527" s="2">
        <v>46122</v>
      </c>
      <c r="C527" t="s">
        <v>19</v>
      </c>
      <c r="D527" t="s">
        <v>20</v>
      </c>
      <c r="E527" t="s">
        <v>12</v>
      </c>
      <c r="F527">
        <v>15</v>
      </c>
      <c r="G527" t="s">
        <v>26</v>
      </c>
      <c r="H527" s="2">
        <v>46126</v>
      </c>
    </row>
    <row r="528" spans="1:9" x14ac:dyDescent="0.35">
      <c r="A528" t="s">
        <v>554</v>
      </c>
      <c r="B528" s="2">
        <v>46185</v>
      </c>
      <c r="C528" t="s">
        <v>15</v>
      </c>
      <c r="D528" t="s">
        <v>16</v>
      </c>
      <c r="E528" t="s">
        <v>12</v>
      </c>
      <c r="F528">
        <v>15</v>
      </c>
      <c r="G528" t="s">
        <v>13</v>
      </c>
      <c r="H528" s="2">
        <v>46187</v>
      </c>
      <c r="I528" s="2">
        <v>46186</v>
      </c>
    </row>
    <row r="529" spans="1:9" x14ac:dyDescent="0.35">
      <c r="A529" t="s">
        <v>555</v>
      </c>
      <c r="B529" s="2">
        <v>46136</v>
      </c>
      <c r="C529" t="s">
        <v>34</v>
      </c>
      <c r="D529" t="s">
        <v>35</v>
      </c>
      <c r="E529" t="s">
        <v>46</v>
      </c>
      <c r="F529">
        <v>4</v>
      </c>
      <c r="G529" t="s">
        <v>13</v>
      </c>
      <c r="H529" s="2">
        <v>46137</v>
      </c>
      <c r="I529" s="2">
        <v>46137</v>
      </c>
    </row>
    <row r="530" spans="1:9" x14ac:dyDescent="0.35">
      <c r="A530" t="s">
        <v>556</v>
      </c>
      <c r="B530" s="2">
        <v>46176</v>
      </c>
      <c r="C530" t="s">
        <v>15</v>
      </c>
      <c r="D530" t="s">
        <v>16</v>
      </c>
      <c r="E530" t="s">
        <v>55</v>
      </c>
      <c r="F530">
        <v>7</v>
      </c>
      <c r="G530" t="s">
        <v>13</v>
      </c>
      <c r="H530" s="2">
        <v>46178</v>
      </c>
      <c r="I530" s="2">
        <v>46177</v>
      </c>
    </row>
    <row r="531" spans="1:9" x14ac:dyDescent="0.35">
      <c r="A531" t="s">
        <v>557</v>
      </c>
      <c r="B531" s="2">
        <v>46161</v>
      </c>
      <c r="C531" t="s">
        <v>10</v>
      </c>
      <c r="D531" t="s">
        <v>11</v>
      </c>
      <c r="E531" t="s">
        <v>24</v>
      </c>
      <c r="F531">
        <v>13</v>
      </c>
      <c r="G531" t="s">
        <v>26</v>
      </c>
      <c r="H531" s="2">
        <v>46165</v>
      </c>
    </row>
    <row r="532" spans="1:9" x14ac:dyDescent="0.35">
      <c r="A532" t="s">
        <v>558</v>
      </c>
      <c r="B532" s="2">
        <v>46148</v>
      </c>
      <c r="C532" t="s">
        <v>10</v>
      </c>
      <c r="D532" t="s">
        <v>11</v>
      </c>
      <c r="E532" t="s">
        <v>17</v>
      </c>
      <c r="F532">
        <v>3</v>
      </c>
      <c r="G532" t="s">
        <v>26</v>
      </c>
      <c r="H532" s="2">
        <v>46151</v>
      </c>
    </row>
    <row r="533" spans="1:9" x14ac:dyDescent="0.35">
      <c r="A533" t="s">
        <v>559</v>
      </c>
      <c r="B533" s="2">
        <v>46194</v>
      </c>
      <c r="C533" t="s">
        <v>15</v>
      </c>
      <c r="D533" t="s">
        <v>16</v>
      </c>
      <c r="E533" t="s">
        <v>24</v>
      </c>
      <c r="F533">
        <v>16</v>
      </c>
      <c r="G533" t="s">
        <v>13</v>
      </c>
      <c r="H533" s="2">
        <v>46195</v>
      </c>
      <c r="I533" s="2">
        <v>46195</v>
      </c>
    </row>
    <row r="534" spans="1:9" x14ac:dyDescent="0.35">
      <c r="A534" t="s">
        <v>560</v>
      </c>
      <c r="B534" s="2">
        <v>46136</v>
      </c>
      <c r="C534" t="s">
        <v>10</v>
      </c>
      <c r="D534" t="s">
        <v>11</v>
      </c>
      <c r="E534" t="s">
        <v>22</v>
      </c>
      <c r="F534">
        <v>9</v>
      </c>
      <c r="G534" t="s">
        <v>13</v>
      </c>
      <c r="H534" s="2">
        <v>46138</v>
      </c>
      <c r="I534" s="2">
        <v>46137</v>
      </c>
    </row>
    <row r="535" spans="1:9" x14ac:dyDescent="0.35">
      <c r="A535" t="s">
        <v>561</v>
      </c>
      <c r="B535" s="2">
        <v>46135</v>
      </c>
      <c r="C535" t="s">
        <v>15</v>
      </c>
      <c r="D535" t="s">
        <v>16</v>
      </c>
      <c r="E535" t="s">
        <v>43</v>
      </c>
      <c r="F535">
        <v>8</v>
      </c>
      <c r="G535" t="s">
        <v>13</v>
      </c>
      <c r="H535" s="2">
        <v>46137</v>
      </c>
      <c r="I535" s="2">
        <v>46136</v>
      </c>
    </row>
    <row r="536" spans="1:9" x14ac:dyDescent="0.35">
      <c r="A536" t="s">
        <v>562</v>
      </c>
      <c r="B536" s="2">
        <v>46174</v>
      </c>
      <c r="C536" t="s">
        <v>15</v>
      </c>
      <c r="D536" t="s">
        <v>16</v>
      </c>
      <c r="E536" t="s">
        <v>24</v>
      </c>
      <c r="F536">
        <v>20</v>
      </c>
      <c r="G536" t="s">
        <v>13</v>
      </c>
      <c r="H536" s="2">
        <v>46178</v>
      </c>
      <c r="I536" s="2">
        <v>46177</v>
      </c>
    </row>
    <row r="537" spans="1:9" x14ac:dyDescent="0.35">
      <c r="A537" t="s">
        <v>563</v>
      </c>
      <c r="B537" s="2">
        <v>46149</v>
      </c>
      <c r="C537" t="s">
        <v>10</v>
      </c>
      <c r="D537" t="s">
        <v>11</v>
      </c>
      <c r="E537" t="s">
        <v>43</v>
      </c>
      <c r="F537">
        <v>13</v>
      </c>
      <c r="G537" t="s">
        <v>62</v>
      </c>
      <c r="H537" s="2">
        <v>46150</v>
      </c>
      <c r="I537" s="2">
        <v>46153</v>
      </c>
    </row>
    <row r="538" spans="1:9" x14ac:dyDescent="0.35">
      <c r="A538" t="s">
        <v>564</v>
      </c>
      <c r="B538" s="2">
        <v>46124</v>
      </c>
      <c r="C538" t="s">
        <v>34</v>
      </c>
      <c r="D538" t="s">
        <v>35</v>
      </c>
      <c r="E538" t="s">
        <v>43</v>
      </c>
      <c r="F538">
        <v>17</v>
      </c>
      <c r="G538" t="s">
        <v>13</v>
      </c>
      <c r="H538" s="2">
        <v>46127</v>
      </c>
      <c r="I538" s="2">
        <v>46127</v>
      </c>
    </row>
    <row r="539" spans="1:9" x14ac:dyDescent="0.35">
      <c r="A539" t="s">
        <v>565</v>
      </c>
      <c r="B539" s="2">
        <v>46167</v>
      </c>
      <c r="C539" t="s">
        <v>10</v>
      </c>
      <c r="D539" t="s">
        <v>11</v>
      </c>
      <c r="E539" t="s">
        <v>22</v>
      </c>
      <c r="F539">
        <v>17</v>
      </c>
      <c r="G539" t="s">
        <v>13</v>
      </c>
      <c r="H539" s="2">
        <v>46169</v>
      </c>
      <c r="I539" s="2">
        <v>46168</v>
      </c>
    </row>
    <row r="540" spans="1:9" x14ac:dyDescent="0.35">
      <c r="A540" t="s">
        <v>566</v>
      </c>
      <c r="B540" s="2">
        <v>46125</v>
      </c>
      <c r="C540" t="s">
        <v>34</v>
      </c>
      <c r="D540" t="s">
        <v>35</v>
      </c>
      <c r="E540" t="s">
        <v>22</v>
      </c>
      <c r="F540">
        <v>17</v>
      </c>
      <c r="G540" t="s">
        <v>13</v>
      </c>
      <c r="H540" s="2">
        <v>46126</v>
      </c>
      <c r="I540" s="2">
        <v>46126</v>
      </c>
    </row>
    <row r="541" spans="1:9" x14ac:dyDescent="0.35">
      <c r="A541" t="s">
        <v>567</v>
      </c>
      <c r="B541" s="2">
        <v>46135</v>
      </c>
      <c r="C541" t="s">
        <v>19</v>
      </c>
      <c r="D541" t="s">
        <v>20</v>
      </c>
      <c r="E541" t="s">
        <v>22</v>
      </c>
      <c r="F541">
        <v>1</v>
      </c>
      <c r="G541" t="s">
        <v>26</v>
      </c>
      <c r="H541" s="2">
        <v>46138</v>
      </c>
    </row>
    <row r="542" spans="1:9" x14ac:dyDescent="0.35">
      <c r="A542" t="s">
        <v>568</v>
      </c>
      <c r="B542" s="2">
        <v>46201</v>
      </c>
      <c r="C542" t="s">
        <v>15</v>
      </c>
      <c r="D542" t="s">
        <v>16</v>
      </c>
      <c r="E542" t="s">
        <v>24</v>
      </c>
      <c r="F542">
        <v>8</v>
      </c>
      <c r="G542" t="s">
        <v>13</v>
      </c>
      <c r="H542" s="2">
        <v>46203</v>
      </c>
      <c r="I542" s="2">
        <v>46202</v>
      </c>
    </row>
    <row r="543" spans="1:9" x14ac:dyDescent="0.35">
      <c r="A543" t="s">
        <v>569</v>
      </c>
      <c r="B543" s="2">
        <v>46142</v>
      </c>
      <c r="C543" t="s">
        <v>34</v>
      </c>
      <c r="D543" t="s">
        <v>35</v>
      </c>
      <c r="E543" t="s">
        <v>12</v>
      </c>
      <c r="F543">
        <v>19</v>
      </c>
      <c r="G543" t="s">
        <v>13</v>
      </c>
      <c r="H543" s="2">
        <v>46144</v>
      </c>
      <c r="I543" s="2">
        <v>46143</v>
      </c>
    </row>
    <row r="544" spans="1:9" x14ac:dyDescent="0.35">
      <c r="A544" t="s">
        <v>570</v>
      </c>
      <c r="B544" s="2">
        <v>46129</v>
      </c>
      <c r="C544" t="s">
        <v>10</v>
      </c>
      <c r="D544" t="s">
        <v>11</v>
      </c>
      <c r="E544" t="s">
        <v>22</v>
      </c>
      <c r="F544">
        <v>6</v>
      </c>
      <c r="G544" t="s">
        <v>13</v>
      </c>
      <c r="H544" s="2">
        <v>46132</v>
      </c>
      <c r="I544" s="2">
        <v>46132</v>
      </c>
    </row>
    <row r="545" spans="1:9" x14ac:dyDescent="0.35">
      <c r="A545" t="s">
        <v>571</v>
      </c>
      <c r="B545" s="2">
        <v>46174</v>
      </c>
      <c r="C545" t="s">
        <v>34</v>
      </c>
      <c r="D545" t="s">
        <v>35</v>
      </c>
      <c r="E545" t="s">
        <v>17</v>
      </c>
      <c r="F545">
        <v>3</v>
      </c>
      <c r="G545" t="s">
        <v>13</v>
      </c>
      <c r="H545" s="2">
        <v>46177</v>
      </c>
      <c r="I545" s="2">
        <v>46177</v>
      </c>
    </row>
    <row r="546" spans="1:9" x14ac:dyDescent="0.35">
      <c r="A546" t="s">
        <v>572</v>
      </c>
      <c r="B546" s="2">
        <v>46196</v>
      </c>
      <c r="C546" t="s">
        <v>19</v>
      </c>
      <c r="D546" t="s">
        <v>20</v>
      </c>
      <c r="E546" t="s">
        <v>24</v>
      </c>
      <c r="F546">
        <v>27</v>
      </c>
      <c r="G546" t="s">
        <v>13</v>
      </c>
      <c r="H546" s="2">
        <v>46200</v>
      </c>
      <c r="I546" s="2">
        <v>46200</v>
      </c>
    </row>
    <row r="547" spans="1:9" x14ac:dyDescent="0.35">
      <c r="A547" t="s">
        <v>573</v>
      </c>
      <c r="B547" s="2">
        <v>46201</v>
      </c>
      <c r="C547" t="s">
        <v>10</v>
      </c>
      <c r="D547" t="s">
        <v>11</v>
      </c>
      <c r="E547" t="s">
        <v>22</v>
      </c>
      <c r="F547">
        <v>5</v>
      </c>
      <c r="G547" t="s">
        <v>13</v>
      </c>
      <c r="H547" s="2">
        <v>46202</v>
      </c>
      <c r="I547" s="2">
        <v>46202</v>
      </c>
    </row>
    <row r="548" spans="1:9" x14ac:dyDescent="0.35">
      <c r="A548" t="s">
        <v>574</v>
      </c>
      <c r="B548" s="2">
        <v>46198</v>
      </c>
      <c r="C548" t="s">
        <v>10</v>
      </c>
      <c r="D548" t="s">
        <v>11</v>
      </c>
      <c r="E548" t="s">
        <v>32</v>
      </c>
      <c r="F548">
        <v>13</v>
      </c>
      <c r="G548" t="s">
        <v>13</v>
      </c>
      <c r="H548" s="2">
        <v>46199</v>
      </c>
      <c r="I548" s="2">
        <v>46198</v>
      </c>
    </row>
    <row r="549" spans="1:9" x14ac:dyDescent="0.35">
      <c r="A549" t="s">
        <v>575</v>
      </c>
      <c r="B549" s="2">
        <v>46125</v>
      </c>
      <c r="C549" t="s">
        <v>10</v>
      </c>
      <c r="D549" t="s">
        <v>11</v>
      </c>
      <c r="E549" t="s">
        <v>43</v>
      </c>
      <c r="F549">
        <v>15</v>
      </c>
      <c r="G549" t="s">
        <v>62</v>
      </c>
      <c r="H549" s="2">
        <v>46129</v>
      </c>
      <c r="I549" s="2">
        <v>46132</v>
      </c>
    </row>
    <row r="550" spans="1:9" x14ac:dyDescent="0.35">
      <c r="A550" t="s">
        <v>576</v>
      </c>
      <c r="B550" s="2">
        <v>46171</v>
      </c>
      <c r="C550" t="s">
        <v>19</v>
      </c>
      <c r="D550" t="s">
        <v>20</v>
      </c>
      <c r="E550" t="s">
        <v>17</v>
      </c>
      <c r="F550">
        <v>14</v>
      </c>
      <c r="G550" t="s">
        <v>26</v>
      </c>
      <c r="H550" s="2">
        <v>46173</v>
      </c>
    </row>
    <row r="551" spans="1:9" x14ac:dyDescent="0.35">
      <c r="A551" t="s">
        <v>577</v>
      </c>
      <c r="B551" s="2">
        <v>46131</v>
      </c>
      <c r="C551" t="s">
        <v>19</v>
      </c>
      <c r="D551" t="s">
        <v>20</v>
      </c>
      <c r="E551" t="s">
        <v>22</v>
      </c>
      <c r="F551">
        <v>29</v>
      </c>
      <c r="G551" t="s">
        <v>62</v>
      </c>
      <c r="H551" s="2">
        <v>46134</v>
      </c>
      <c r="I551" s="2">
        <v>46137</v>
      </c>
    </row>
    <row r="552" spans="1:9" x14ac:dyDescent="0.35">
      <c r="A552" t="s">
        <v>578</v>
      </c>
      <c r="B552" s="2">
        <v>46161</v>
      </c>
      <c r="C552" t="s">
        <v>10</v>
      </c>
      <c r="D552" t="s">
        <v>11</v>
      </c>
      <c r="E552" t="s">
        <v>46</v>
      </c>
      <c r="F552">
        <v>23</v>
      </c>
      <c r="G552" t="s">
        <v>13</v>
      </c>
      <c r="H552" s="2">
        <v>46164</v>
      </c>
      <c r="I552" s="2">
        <v>46163</v>
      </c>
    </row>
    <row r="553" spans="1:9" x14ac:dyDescent="0.35">
      <c r="A553" t="s">
        <v>579</v>
      </c>
      <c r="B553" s="2">
        <v>46124</v>
      </c>
      <c r="C553" t="s">
        <v>10</v>
      </c>
      <c r="D553" t="s">
        <v>11</v>
      </c>
      <c r="E553" t="s">
        <v>43</v>
      </c>
      <c r="F553">
        <v>16</v>
      </c>
      <c r="G553" t="s">
        <v>62</v>
      </c>
      <c r="H553" s="2">
        <v>46127</v>
      </c>
      <c r="I553" s="2">
        <v>46130</v>
      </c>
    </row>
    <row r="554" spans="1:9" x14ac:dyDescent="0.35">
      <c r="A554" t="s">
        <v>580</v>
      </c>
      <c r="B554" s="2">
        <v>46173</v>
      </c>
      <c r="C554" t="s">
        <v>15</v>
      </c>
      <c r="D554" t="s">
        <v>16</v>
      </c>
      <c r="E554" t="s">
        <v>43</v>
      </c>
      <c r="F554">
        <v>18</v>
      </c>
      <c r="G554" t="s">
        <v>13</v>
      </c>
      <c r="H554" s="2">
        <v>46175</v>
      </c>
      <c r="I554" s="2">
        <v>46175</v>
      </c>
    </row>
    <row r="555" spans="1:9" x14ac:dyDescent="0.35">
      <c r="A555" t="s">
        <v>581</v>
      </c>
      <c r="B555" s="2">
        <v>46131</v>
      </c>
      <c r="C555" t="s">
        <v>15</v>
      </c>
      <c r="D555" t="s">
        <v>16</v>
      </c>
      <c r="E555" t="s">
        <v>22</v>
      </c>
      <c r="F555">
        <v>22</v>
      </c>
      <c r="G555" t="s">
        <v>13</v>
      </c>
      <c r="H555" s="2">
        <v>46134</v>
      </c>
      <c r="I555" s="2">
        <v>46134</v>
      </c>
    </row>
    <row r="556" spans="1:9" x14ac:dyDescent="0.35">
      <c r="A556" t="s">
        <v>582</v>
      </c>
      <c r="B556" s="2">
        <v>46188</v>
      </c>
      <c r="C556" t="s">
        <v>10</v>
      </c>
      <c r="D556" t="s">
        <v>11</v>
      </c>
      <c r="E556" t="s">
        <v>12</v>
      </c>
      <c r="F556">
        <v>29</v>
      </c>
      <c r="G556" t="s">
        <v>13</v>
      </c>
      <c r="H556" s="2">
        <v>46191</v>
      </c>
      <c r="I556" s="2">
        <v>46191</v>
      </c>
    </row>
    <row r="557" spans="1:9" x14ac:dyDescent="0.35">
      <c r="A557" t="s">
        <v>583</v>
      </c>
      <c r="B557" s="2">
        <v>46121</v>
      </c>
      <c r="C557" t="s">
        <v>15</v>
      </c>
      <c r="D557" t="s">
        <v>16</v>
      </c>
      <c r="E557" t="s">
        <v>55</v>
      </c>
      <c r="F557">
        <v>22</v>
      </c>
      <c r="G557" t="s">
        <v>13</v>
      </c>
      <c r="H557" s="2">
        <v>46125</v>
      </c>
      <c r="I557" s="2">
        <v>46124</v>
      </c>
    </row>
    <row r="558" spans="1:9" x14ac:dyDescent="0.35">
      <c r="A558" t="s">
        <v>584</v>
      </c>
      <c r="B558" s="2">
        <v>46183</v>
      </c>
      <c r="C558" t="s">
        <v>34</v>
      </c>
      <c r="D558" t="s">
        <v>35</v>
      </c>
      <c r="E558" t="s">
        <v>12</v>
      </c>
      <c r="F558">
        <v>11</v>
      </c>
      <c r="G558" t="s">
        <v>13</v>
      </c>
      <c r="H558" s="2">
        <v>46185</v>
      </c>
      <c r="I558" s="2">
        <v>46184</v>
      </c>
    </row>
    <row r="559" spans="1:9" x14ac:dyDescent="0.35">
      <c r="A559" t="s">
        <v>585</v>
      </c>
      <c r="B559" s="2">
        <v>46140</v>
      </c>
      <c r="C559" t="s">
        <v>15</v>
      </c>
      <c r="D559" t="s">
        <v>16</v>
      </c>
      <c r="E559" t="s">
        <v>22</v>
      </c>
      <c r="F559">
        <v>3</v>
      </c>
      <c r="G559" t="s">
        <v>13</v>
      </c>
      <c r="H559" s="2">
        <v>46141</v>
      </c>
      <c r="I559" s="2">
        <v>46141</v>
      </c>
    </row>
    <row r="560" spans="1:9" x14ac:dyDescent="0.35">
      <c r="A560" t="s">
        <v>586</v>
      </c>
      <c r="B560" s="2">
        <v>46190</v>
      </c>
      <c r="C560" t="s">
        <v>34</v>
      </c>
      <c r="D560" t="s">
        <v>35</v>
      </c>
      <c r="E560" t="s">
        <v>43</v>
      </c>
      <c r="F560">
        <v>22</v>
      </c>
      <c r="G560" t="s">
        <v>13</v>
      </c>
      <c r="H560" s="2">
        <v>46194</v>
      </c>
      <c r="I560" s="2">
        <v>46194</v>
      </c>
    </row>
    <row r="561" spans="1:9" x14ac:dyDescent="0.35">
      <c r="A561" t="s">
        <v>587</v>
      </c>
      <c r="B561" s="2">
        <v>46164</v>
      </c>
      <c r="C561" t="s">
        <v>19</v>
      </c>
      <c r="D561" t="s">
        <v>20</v>
      </c>
      <c r="E561" t="s">
        <v>17</v>
      </c>
      <c r="F561">
        <v>10</v>
      </c>
      <c r="G561" t="s">
        <v>13</v>
      </c>
      <c r="H561" s="2">
        <v>46168</v>
      </c>
      <c r="I561" s="2">
        <v>46167</v>
      </c>
    </row>
    <row r="562" spans="1:9" x14ac:dyDescent="0.35">
      <c r="A562" t="s">
        <v>588</v>
      </c>
      <c r="B562" s="2">
        <v>46195</v>
      </c>
      <c r="C562" t="s">
        <v>19</v>
      </c>
      <c r="D562" t="s">
        <v>20</v>
      </c>
      <c r="E562" t="s">
        <v>46</v>
      </c>
      <c r="F562">
        <v>10</v>
      </c>
      <c r="G562" t="s">
        <v>13</v>
      </c>
      <c r="H562" s="2">
        <v>46196</v>
      </c>
      <c r="I562" s="2">
        <v>46196</v>
      </c>
    </row>
    <row r="563" spans="1:9" x14ac:dyDescent="0.35">
      <c r="A563" t="s">
        <v>589</v>
      </c>
      <c r="B563" s="2">
        <v>46128</v>
      </c>
      <c r="C563" t="s">
        <v>15</v>
      </c>
      <c r="D563" t="s">
        <v>16</v>
      </c>
      <c r="E563" t="s">
        <v>17</v>
      </c>
      <c r="F563">
        <v>30</v>
      </c>
      <c r="G563" t="s">
        <v>13</v>
      </c>
      <c r="H563" s="2">
        <v>46132</v>
      </c>
      <c r="I563" s="2">
        <v>46132</v>
      </c>
    </row>
    <row r="564" spans="1:9" x14ac:dyDescent="0.35">
      <c r="A564" t="s">
        <v>590</v>
      </c>
      <c r="B564" s="2">
        <v>46181</v>
      </c>
      <c r="C564" t="s">
        <v>34</v>
      </c>
      <c r="D564" t="s">
        <v>35</v>
      </c>
      <c r="E564" t="s">
        <v>17</v>
      </c>
      <c r="F564">
        <v>21</v>
      </c>
      <c r="G564" t="s">
        <v>13</v>
      </c>
      <c r="H564" s="2">
        <v>46183</v>
      </c>
      <c r="I564" s="2">
        <v>46183</v>
      </c>
    </row>
    <row r="565" spans="1:9" x14ac:dyDescent="0.35">
      <c r="A565" t="s">
        <v>591</v>
      </c>
      <c r="B565" s="2">
        <v>46124</v>
      </c>
      <c r="C565" t="s">
        <v>19</v>
      </c>
      <c r="D565" t="s">
        <v>20</v>
      </c>
      <c r="E565" t="s">
        <v>43</v>
      </c>
      <c r="F565">
        <v>16</v>
      </c>
      <c r="G565" t="s">
        <v>26</v>
      </c>
      <c r="H565" s="2">
        <v>46127</v>
      </c>
    </row>
    <row r="566" spans="1:9" x14ac:dyDescent="0.35">
      <c r="A566" t="s">
        <v>592</v>
      </c>
      <c r="B566" s="2">
        <v>46137</v>
      </c>
      <c r="C566" t="s">
        <v>15</v>
      </c>
      <c r="D566" t="s">
        <v>16</v>
      </c>
      <c r="E566" t="s">
        <v>12</v>
      </c>
      <c r="F566">
        <v>12</v>
      </c>
      <c r="G566" t="s">
        <v>26</v>
      </c>
      <c r="H566" s="2">
        <v>46139</v>
      </c>
    </row>
    <row r="567" spans="1:9" x14ac:dyDescent="0.35">
      <c r="A567" t="s">
        <v>593</v>
      </c>
      <c r="B567" s="2">
        <v>46164</v>
      </c>
      <c r="C567" t="s">
        <v>19</v>
      </c>
      <c r="D567" t="s">
        <v>20</v>
      </c>
      <c r="E567" t="s">
        <v>46</v>
      </c>
      <c r="F567">
        <v>2</v>
      </c>
      <c r="G567" t="s">
        <v>13</v>
      </c>
      <c r="H567" s="2">
        <v>46165</v>
      </c>
      <c r="I567" s="2">
        <v>46165</v>
      </c>
    </row>
    <row r="568" spans="1:9" x14ac:dyDescent="0.35">
      <c r="A568" t="s">
        <v>594</v>
      </c>
      <c r="B568" s="2">
        <v>46197</v>
      </c>
      <c r="C568" t="s">
        <v>34</v>
      </c>
      <c r="D568" t="s">
        <v>35</v>
      </c>
      <c r="E568" t="s">
        <v>24</v>
      </c>
      <c r="F568">
        <v>9</v>
      </c>
      <c r="G568" t="s">
        <v>13</v>
      </c>
      <c r="H568" s="2">
        <v>46198</v>
      </c>
      <c r="I568" s="2">
        <v>46198</v>
      </c>
    </row>
    <row r="569" spans="1:9" x14ac:dyDescent="0.35">
      <c r="A569" t="s">
        <v>595</v>
      </c>
      <c r="B569" s="2">
        <v>46165</v>
      </c>
      <c r="C569" t="s">
        <v>34</v>
      </c>
      <c r="D569" t="s">
        <v>35</v>
      </c>
      <c r="E569" t="s">
        <v>32</v>
      </c>
      <c r="F569">
        <v>24</v>
      </c>
      <c r="G569" t="s">
        <v>13</v>
      </c>
      <c r="H569" s="2">
        <v>46169</v>
      </c>
      <c r="I569" s="2">
        <v>46169</v>
      </c>
    </row>
    <row r="570" spans="1:9" x14ac:dyDescent="0.35">
      <c r="A570" t="s">
        <v>596</v>
      </c>
      <c r="B570" s="2">
        <v>46135</v>
      </c>
      <c r="C570" t="s">
        <v>19</v>
      </c>
      <c r="D570" t="s">
        <v>20</v>
      </c>
      <c r="E570" t="s">
        <v>43</v>
      </c>
      <c r="F570">
        <v>3</v>
      </c>
      <c r="G570" t="s">
        <v>26</v>
      </c>
      <c r="H570" s="2">
        <v>46137</v>
      </c>
    </row>
    <row r="571" spans="1:9" x14ac:dyDescent="0.35">
      <c r="A571" t="s">
        <v>597</v>
      </c>
      <c r="B571" s="2">
        <v>46128</v>
      </c>
      <c r="C571" t="s">
        <v>15</v>
      </c>
      <c r="D571" t="s">
        <v>16</v>
      </c>
      <c r="E571" t="s">
        <v>22</v>
      </c>
      <c r="F571">
        <v>24</v>
      </c>
      <c r="G571" t="s">
        <v>13</v>
      </c>
      <c r="H571" s="2">
        <v>46130</v>
      </c>
      <c r="I571" s="2">
        <v>46130</v>
      </c>
    </row>
    <row r="572" spans="1:9" x14ac:dyDescent="0.35">
      <c r="A572" t="s">
        <v>598</v>
      </c>
      <c r="B572" s="2">
        <v>46169</v>
      </c>
      <c r="C572" t="s">
        <v>10</v>
      </c>
      <c r="D572" t="s">
        <v>11</v>
      </c>
      <c r="E572" t="s">
        <v>24</v>
      </c>
      <c r="F572">
        <v>30</v>
      </c>
      <c r="G572" t="s">
        <v>13</v>
      </c>
      <c r="H572" s="2">
        <v>46170</v>
      </c>
      <c r="I572" s="2">
        <v>46170</v>
      </c>
    </row>
    <row r="573" spans="1:9" x14ac:dyDescent="0.35">
      <c r="A573" t="s">
        <v>599</v>
      </c>
      <c r="B573" s="2">
        <v>46151</v>
      </c>
      <c r="C573" t="s">
        <v>19</v>
      </c>
      <c r="D573" t="s">
        <v>20</v>
      </c>
      <c r="E573" t="s">
        <v>32</v>
      </c>
      <c r="F573">
        <v>25</v>
      </c>
      <c r="G573" t="s">
        <v>13</v>
      </c>
      <c r="H573" s="2">
        <v>46153</v>
      </c>
      <c r="I573" s="2">
        <v>46153</v>
      </c>
    </row>
    <row r="574" spans="1:9" x14ac:dyDescent="0.35">
      <c r="A574" t="s">
        <v>600</v>
      </c>
      <c r="B574" s="2">
        <v>46165</v>
      </c>
      <c r="C574" t="s">
        <v>15</v>
      </c>
      <c r="D574" t="s">
        <v>16</v>
      </c>
      <c r="E574" t="s">
        <v>22</v>
      </c>
      <c r="F574">
        <v>30</v>
      </c>
      <c r="G574" t="s">
        <v>13</v>
      </c>
      <c r="H574" s="2">
        <v>46166</v>
      </c>
      <c r="I574" s="2">
        <v>46165</v>
      </c>
    </row>
    <row r="575" spans="1:9" x14ac:dyDescent="0.35">
      <c r="A575" t="s">
        <v>601</v>
      </c>
      <c r="B575" s="2">
        <v>46154</v>
      </c>
      <c r="C575" t="s">
        <v>10</v>
      </c>
      <c r="D575" t="s">
        <v>11</v>
      </c>
      <c r="E575" t="s">
        <v>17</v>
      </c>
      <c r="F575">
        <v>15</v>
      </c>
      <c r="G575" t="s">
        <v>13</v>
      </c>
      <c r="H575" s="2">
        <v>46156</v>
      </c>
      <c r="I575" s="2">
        <v>46155</v>
      </c>
    </row>
    <row r="576" spans="1:9" x14ac:dyDescent="0.35">
      <c r="A576" t="s">
        <v>602</v>
      </c>
      <c r="B576" s="2">
        <v>46170</v>
      </c>
      <c r="C576" t="s">
        <v>19</v>
      </c>
      <c r="D576" t="s">
        <v>20</v>
      </c>
      <c r="E576" t="s">
        <v>55</v>
      </c>
      <c r="F576">
        <v>3</v>
      </c>
      <c r="G576" t="s">
        <v>26</v>
      </c>
      <c r="H576" s="2">
        <v>46172</v>
      </c>
    </row>
    <row r="577" spans="1:9" x14ac:dyDescent="0.35">
      <c r="A577" t="s">
        <v>603</v>
      </c>
      <c r="B577" s="2">
        <v>46151</v>
      </c>
      <c r="C577" t="s">
        <v>15</v>
      </c>
      <c r="D577" t="s">
        <v>16</v>
      </c>
      <c r="E577" t="s">
        <v>22</v>
      </c>
      <c r="F577">
        <v>19</v>
      </c>
      <c r="G577" t="s">
        <v>13</v>
      </c>
      <c r="H577" s="2">
        <v>46153</v>
      </c>
      <c r="I577" s="2">
        <v>46152</v>
      </c>
    </row>
    <row r="578" spans="1:9" x14ac:dyDescent="0.35">
      <c r="A578" t="s">
        <v>604</v>
      </c>
      <c r="B578" s="2">
        <v>46126</v>
      </c>
      <c r="C578" t="s">
        <v>19</v>
      </c>
      <c r="D578" t="s">
        <v>20</v>
      </c>
      <c r="E578" t="s">
        <v>46</v>
      </c>
      <c r="F578">
        <v>18</v>
      </c>
      <c r="G578" t="s">
        <v>13</v>
      </c>
      <c r="H578" s="2">
        <v>46127</v>
      </c>
      <c r="I578" s="2">
        <v>46127</v>
      </c>
    </row>
    <row r="579" spans="1:9" x14ac:dyDescent="0.35">
      <c r="A579" t="s">
        <v>605</v>
      </c>
      <c r="B579" s="2">
        <v>46117</v>
      </c>
      <c r="C579" t="s">
        <v>10</v>
      </c>
      <c r="D579" t="s">
        <v>11</v>
      </c>
      <c r="E579" t="s">
        <v>46</v>
      </c>
      <c r="F579">
        <v>8</v>
      </c>
      <c r="G579" t="s">
        <v>26</v>
      </c>
      <c r="H579" s="2">
        <v>46121</v>
      </c>
    </row>
    <row r="580" spans="1:9" x14ac:dyDescent="0.35">
      <c r="A580" t="s">
        <v>606</v>
      </c>
      <c r="B580" s="2">
        <v>46147</v>
      </c>
      <c r="C580" t="s">
        <v>10</v>
      </c>
      <c r="D580" t="s">
        <v>11</v>
      </c>
      <c r="E580" t="s">
        <v>55</v>
      </c>
      <c r="F580">
        <v>26</v>
      </c>
      <c r="G580" t="s">
        <v>26</v>
      </c>
      <c r="H580" s="2">
        <v>46149</v>
      </c>
    </row>
    <row r="581" spans="1:9" x14ac:dyDescent="0.35">
      <c r="A581" t="s">
        <v>607</v>
      </c>
      <c r="B581" s="2">
        <v>46199</v>
      </c>
      <c r="C581" t="s">
        <v>10</v>
      </c>
      <c r="D581" t="s">
        <v>11</v>
      </c>
      <c r="E581" t="s">
        <v>24</v>
      </c>
      <c r="F581">
        <v>17</v>
      </c>
      <c r="G581" t="s">
        <v>13</v>
      </c>
      <c r="H581" s="2">
        <v>46200</v>
      </c>
      <c r="I581" s="2">
        <v>46200</v>
      </c>
    </row>
    <row r="582" spans="1:9" x14ac:dyDescent="0.35">
      <c r="A582" t="s">
        <v>608</v>
      </c>
      <c r="B582" s="2">
        <v>46187</v>
      </c>
      <c r="C582" t="s">
        <v>15</v>
      </c>
      <c r="D582" t="s">
        <v>16</v>
      </c>
      <c r="E582" t="s">
        <v>32</v>
      </c>
      <c r="F582">
        <v>8</v>
      </c>
      <c r="G582" t="s">
        <v>13</v>
      </c>
      <c r="H582" s="2">
        <v>46188</v>
      </c>
      <c r="I582" s="2">
        <v>46187</v>
      </c>
    </row>
    <row r="583" spans="1:9" x14ac:dyDescent="0.35">
      <c r="A583" t="s">
        <v>609</v>
      </c>
      <c r="B583" s="2">
        <v>46130</v>
      </c>
      <c r="C583" t="s">
        <v>19</v>
      </c>
      <c r="D583" t="s">
        <v>20</v>
      </c>
      <c r="E583" t="s">
        <v>22</v>
      </c>
      <c r="F583">
        <v>7</v>
      </c>
      <c r="G583" t="s">
        <v>13</v>
      </c>
      <c r="H583" s="2">
        <v>46132</v>
      </c>
      <c r="I583" s="2">
        <v>46132</v>
      </c>
    </row>
    <row r="584" spans="1:9" x14ac:dyDescent="0.35">
      <c r="A584" t="s">
        <v>610</v>
      </c>
      <c r="B584" s="2">
        <v>46188</v>
      </c>
      <c r="C584" t="s">
        <v>19</v>
      </c>
      <c r="D584" t="s">
        <v>20</v>
      </c>
      <c r="E584" t="s">
        <v>46</v>
      </c>
      <c r="F584">
        <v>30</v>
      </c>
      <c r="G584" t="s">
        <v>62</v>
      </c>
      <c r="H584" s="2">
        <v>46190</v>
      </c>
      <c r="I584" s="2">
        <v>46192</v>
      </c>
    </row>
    <row r="585" spans="1:9" x14ac:dyDescent="0.35">
      <c r="A585" t="s">
        <v>611</v>
      </c>
      <c r="B585" s="2">
        <v>46121</v>
      </c>
      <c r="C585" t="s">
        <v>10</v>
      </c>
      <c r="D585" t="s">
        <v>11</v>
      </c>
      <c r="E585" t="s">
        <v>24</v>
      </c>
      <c r="F585">
        <v>7</v>
      </c>
      <c r="G585" t="s">
        <v>13</v>
      </c>
      <c r="H585" s="2">
        <v>46125</v>
      </c>
      <c r="I585" s="2">
        <v>46125</v>
      </c>
    </row>
    <row r="586" spans="1:9" x14ac:dyDescent="0.35">
      <c r="A586" t="s">
        <v>612</v>
      </c>
      <c r="B586" s="2">
        <v>46186</v>
      </c>
      <c r="C586" t="s">
        <v>19</v>
      </c>
      <c r="D586" t="s">
        <v>20</v>
      </c>
      <c r="E586" t="s">
        <v>55</v>
      </c>
      <c r="F586">
        <v>3</v>
      </c>
      <c r="G586" t="s">
        <v>62</v>
      </c>
      <c r="H586" s="2">
        <v>46187</v>
      </c>
      <c r="I586" s="2">
        <v>46189</v>
      </c>
    </row>
    <row r="587" spans="1:9" x14ac:dyDescent="0.35">
      <c r="A587" t="s">
        <v>613</v>
      </c>
      <c r="B587" s="2">
        <v>46170</v>
      </c>
      <c r="C587" t="s">
        <v>10</v>
      </c>
      <c r="D587" t="s">
        <v>11</v>
      </c>
      <c r="E587" t="s">
        <v>12</v>
      </c>
      <c r="F587">
        <v>1</v>
      </c>
      <c r="G587" t="s">
        <v>13</v>
      </c>
      <c r="H587" s="2">
        <v>46171</v>
      </c>
      <c r="I587" s="2">
        <v>46170</v>
      </c>
    </row>
    <row r="588" spans="1:9" x14ac:dyDescent="0.35">
      <c r="A588" t="s">
        <v>614</v>
      </c>
      <c r="B588" s="2">
        <v>46129</v>
      </c>
      <c r="C588" t="s">
        <v>34</v>
      </c>
      <c r="D588" t="s">
        <v>35</v>
      </c>
      <c r="E588" t="s">
        <v>43</v>
      </c>
      <c r="F588">
        <v>4</v>
      </c>
      <c r="G588" t="s">
        <v>13</v>
      </c>
      <c r="H588" s="2">
        <v>46132</v>
      </c>
      <c r="I588" s="2">
        <v>46131</v>
      </c>
    </row>
    <row r="589" spans="1:9" x14ac:dyDescent="0.35">
      <c r="A589" t="s">
        <v>615</v>
      </c>
      <c r="B589" s="2">
        <v>46119</v>
      </c>
      <c r="C589" t="s">
        <v>10</v>
      </c>
      <c r="D589" t="s">
        <v>11</v>
      </c>
      <c r="E589" t="s">
        <v>12</v>
      </c>
      <c r="F589">
        <v>25</v>
      </c>
      <c r="G589" t="s">
        <v>13</v>
      </c>
      <c r="H589" s="2">
        <v>46120</v>
      </c>
      <c r="I589" s="2">
        <v>46120</v>
      </c>
    </row>
    <row r="590" spans="1:9" x14ac:dyDescent="0.35">
      <c r="A590" t="s">
        <v>616</v>
      </c>
      <c r="B590" s="2">
        <v>46158</v>
      </c>
      <c r="C590" t="s">
        <v>10</v>
      </c>
      <c r="D590" t="s">
        <v>11</v>
      </c>
      <c r="E590" t="s">
        <v>12</v>
      </c>
      <c r="F590">
        <v>5</v>
      </c>
      <c r="G590" t="s">
        <v>13</v>
      </c>
      <c r="H590" s="2">
        <v>46162</v>
      </c>
      <c r="I590" s="2">
        <v>46161</v>
      </c>
    </row>
    <row r="591" spans="1:9" x14ac:dyDescent="0.35">
      <c r="A591" t="s">
        <v>617</v>
      </c>
      <c r="B591" s="2">
        <v>46125</v>
      </c>
      <c r="C591" t="s">
        <v>10</v>
      </c>
      <c r="D591" t="s">
        <v>11</v>
      </c>
      <c r="E591" t="s">
        <v>46</v>
      </c>
      <c r="F591">
        <v>1</v>
      </c>
      <c r="G591" t="s">
        <v>13</v>
      </c>
      <c r="H591" s="2">
        <v>46128</v>
      </c>
      <c r="I591" s="2">
        <v>46128</v>
      </c>
    </row>
    <row r="592" spans="1:9" x14ac:dyDescent="0.35">
      <c r="A592" t="s">
        <v>618</v>
      </c>
      <c r="B592" s="2">
        <v>46152</v>
      </c>
      <c r="C592" t="s">
        <v>19</v>
      </c>
      <c r="D592" t="s">
        <v>20</v>
      </c>
      <c r="E592" t="s">
        <v>17</v>
      </c>
      <c r="F592">
        <v>15</v>
      </c>
      <c r="G592" t="s">
        <v>13</v>
      </c>
      <c r="H592" s="2">
        <v>46155</v>
      </c>
      <c r="I592" s="2">
        <v>46155</v>
      </c>
    </row>
    <row r="593" spans="1:9" x14ac:dyDescent="0.35">
      <c r="A593" t="s">
        <v>619</v>
      </c>
      <c r="B593" s="2">
        <v>46154</v>
      </c>
      <c r="C593" t="s">
        <v>34</v>
      </c>
      <c r="D593" t="s">
        <v>35</v>
      </c>
      <c r="E593" t="s">
        <v>17</v>
      </c>
      <c r="F593">
        <v>5</v>
      </c>
      <c r="G593" t="s">
        <v>13</v>
      </c>
      <c r="H593" s="2">
        <v>46157</v>
      </c>
      <c r="I593" s="2">
        <v>46157</v>
      </c>
    </row>
    <row r="594" spans="1:9" x14ac:dyDescent="0.35">
      <c r="A594" t="s">
        <v>620</v>
      </c>
      <c r="B594" s="2">
        <v>46121</v>
      </c>
      <c r="C594" t="s">
        <v>15</v>
      </c>
      <c r="D594" t="s">
        <v>16</v>
      </c>
      <c r="E594" t="s">
        <v>55</v>
      </c>
      <c r="F594">
        <v>13</v>
      </c>
      <c r="G594" t="s">
        <v>62</v>
      </c>
      <c r="H594" s="2">
        <v>46123</v>
      </c>
      <c r="I594" s="2">
        <v>46124</v>
      </c>
    </row>
    <row r="595" spans="1:9" x14ac:dyDescent="0.35">
      <c r="A595" t="s">
        <v>621</v>
      </c>
      <c r="B595" s="2">
        <v>46162</v>
      </c>
      <c r="C595" t="s">
        <v>15</v>
      </c>
      <c r="D595" t="s">
        <v>16</v>
      </c>
      <c r="E595" t="s">
        <v>22</v>
      </c>
      <c r="F595">
        <v>8</v>
      </c>
      <c r="G595" t="s">
        <v>13</v>
      </c>
      <c r="H595" s="2">
        <v>46164</v>
      </c>
      <c r="I595" s="2">
        <v>46164</v>
      </c>
    </row>
    <row r="596" spans="1:9" x14ac:dyDescent="0.35">
      <c r="A596" t="s">
        <v>622</v>
      </c>
      <c r="B596" s="2">
        <v>46139</v>
      </c>
      <c r="C596" t="s">
        <v>34</v>
      </c>
      <c r="D596" t="s">
        <v>35</v>
      </c>
      <c r="E596" t="s">
        <v>17</v>
      </c>
      <c r="F596">
        <v>8</v>
      </c>
      <c r="G596" t="s">
        <v>13</v>
      </c>
      <c r="H596" s="2">
        <v>46140</v>
      </c>
      <c r="I596" s="2">
        <v>46140</v>
      </c>
    </row>
    <row r="597" spans="1:9" x14ac:dyDescent="0.35">
      <c r="A597" t="s">
        <v>623</v>
      </c>
      <c r="B597" s="2">
        <v>46178</v>
      </c>
      <c r="C597" t="s">
        <v>10</v>
      </c>
      <c r="D597" t="s">
        <v>11</v>
      </c>
      <c r="E597" t="s">
        <v>12</v>
      </c>
      <c r="F597">
        <v>5</v>
      </c>
      <c r="G597" t="s">
        <v>13</v>
      </c>
      <c r="H597" s="2">
        <v>46181</v>
      </c>
      <c r="I597" s="2">
        <v>46181</v>
      </c>
    </row>
    <row r="598" spans="1:9" x14ac:dyDescent="0.35">
      <c r="A598" t="s">
        <v>624</v>
      </c>
      <c r="B598" s="2">
        <v>46117</v>
      </c>
      <c r="C598" t="s">
        <v>10</v>
      </c>
      <c r="D598" t="s">
        <v>11</v>
      </c>
      <c r="E598" t="s">
        <v>17</v>
      </c>
      <c r="F598">
        <v>28</v>
      </c>
      <c r="G598" t="s">
        <v>13</v>
      </c>
      <c r="H598" s="2">
        <v>46121</v>
      </c>
      <c r="I598" s="2">
        <v>46120</v>
      </c>
    </row>
    <row r="599" spans="1:9" x14ac:dyDescent="0.35">
      <c r="A599" t="s">
        <v>625</v>
      </c>
      <c r="B599" s="2">
        <v>46141</v>
      </c>
      <c r="C599" t="s">
        <v>10</v>
      </c>
      <c r="D599" t="s">
        <v>11</v>
      </c>
      <c r="E599" t="s">
        <v>12</v>
      </c>
      <c r="F599">
        <v>9</v>
      </c>
      <c r="G599" t="s">
        <v>13</v>
      </c>
      <c r="H599" s="2">
        <v>46143</v>
      </c>
      <c r="I599" s="2">
        <v>46142</v>
      </c>
    </row>
    <row r="600" spans="1:9" x14ac:dyDescent="0.35">
      <c r="A600" t="s">
        <v>626</v>
      </c>
      <c r="B600" s="2">
        <v>46149</v>
      </c>
      <c r="C600" t="s">
        <v>34</v>
      </c>
      <c r="D600" t="s">
        <v>35</v>
      </c>
      <c r="E600" t="s">
        <v>32</v>
      </c>
      <c r="F600">
        <v>1</v>
      </c>
      <c r="G600" t="s">
        <v>13</v>
      </c>
      <c r="H600" s="2">
        <v>46153</v>
      </c>
      <c r="I600" s="2">
        <v>46152</v>
      </c>
    </row>
    <row r="601" spans="1:9" x14ac:dyDescent="0.35">
      <c r="A601" t="s">
        <v>627</v>
      </c>
      <c r="B601" s="2">
        <v>46150</v>
      </c>
      <c r="C601" t="s">
        <v>10</v>
      </c>
      <c r="D601" t="s">
        <v>11</v>
      </c>
      <c r="E601" t="s">
        <v>46</v>
      </c>
      <c r="F601">
        <v>4</v>
      </c>
      <c r="G601" t="s">
        <v>62</v>
      </c>
      <c r="H601" s="2">
        <v>46154</v>
      </c>
      <c r="I601" s="2">
        <v>46155</v>
      </c>
    </row>
    <row r="602" spans="1:9" x14ac:dyDescent="0.35">
      <c r="A602" t="s">
        <v>628</v>
      </c>
      <c r="B602" s="2">
        <v>46195</v>
      </c>
      <c r="C602" t="s">
        <v>34</v>
      </c>
      <c r="D602" t="s">
        <v>35</v>
      </c>
      <c r="E602" t="s">
        <v>46</v>
      </c>
      <c r="F602">
        <v>3</v>
      </c>
      <c r="G602" t="s">
        <v>13</v>
      </c>
      <c r="H602" s="2">
        <v>46197</v>
      </c>
      <c r="I602" s="2">
        <v>46197</v>
      </c>
    </row>
    <row r="603" spans="1:9" x14ac:dyDescent="0.35">
      <c r="A603" t="s">
        <v>629</v>
      </c>
      <c r="B603" s="2">
        <v>46120</v>
      </c>
      <c r="C603" t="s">
        <v>34</v>
      </c>
      <c r="D603" t="s">
        <v>35</v>
      </c>
      <c r="E603" t="s">
        <v>22</v>
      </c>
      <c r="F603">
        <v>2</v>
      </c>
      <c r="G603" t="s">
        <v>13</v>
      </c>
      <c r="H603" s="2">
        <v>46122</v>
      </c>
      <c r="I603" s="2">
        <v>46122</v>
      </c>
    </row>
    <row r="604" spans="1:9" x14ac:dyDescent="0.35">
      <c r="A604" t="s">
        <v>630</v>
      </c>
      <c r="B604" s="2">
        <v>46177</v>
      </c>
      <c r="C604" t="s">
        <v>10</v>
      </c>
      <c r="D604" t="s">
        <v>11</v>
      </c>
      <c r="E604" t="s">
        <v>17</v>
      </c>
      <c r="F604">
        <v>8</v>
      </c>
      <c r="G604" t="s">
        <v>13</v>
      </c>
      <c r="H604" s="2">
        <v>46179</v>
      </c>
      <c r="I604" s="2">
        <v>46179</v>
      </c>
    </row>
    <row r="605" spans="1:9" x14ac:dyDescent="0.35">
      <c r="A605" t="s">
        <v>631</v>
      </c>
      <c r="B605" s="2">
        <v>46198</v>
      </c>
      <c r="C605" t="s">
        <v>19</v>
      </c>
      <c r="D605" t="s">
        <v>20</v>
      </c>
      <c r="E605" t="s">
        <v>17</v>
      </c>
      <c r="F605">
        <v>23</v>
      </c>
      <c r="G605" t="s">
        <v>13</v>
      </c>
      <c r="H605" s="2">
        <v>46200</v>
      </c>
      <c r="I605" s="2">
        <v>46199</v>
      </c>
    </row>
    <row r="606" spans="1:9" x14ac:dyDescent="0.35">
      <c r="A606" t="s">
        <v>632</v>
      </c>
      <c r="B606" s="2">
        <v>46129</v>
      </c>
      <c r="C606" t="s">
        <v>34</v>
      </c>
      <c r="D606" t="s">
        <v>35</v>
      </c>
      <c r="E606" t="s">
        <v>43</v>
      </c>
      <c r="F606">
        <v>9</v>
      </c>
      <c r="G606" t="s">
        <v>13</v>
      </c>
      <c r="H606" s="2">
        <v>46132</v>
      </c>
      <c r="I606" s="2">
        <v>46132</v>
      </c>
    </row>
    <row r="607" spans="1:9" x14ac:dyDescent="0.35">
      <c r="A607" t="s">
        <v>633</v>
      </c>
      <c r="B607" s="2">
        <v>46183</v>
      </c>
      <c r="C607" t="s">
        <v>15</v>
      </c>
      <c r="D607" t="s">
        <v>16</v>
      </c>
      <c r="E607" t="s">
        <v>24</v>
      </c>
      <c r="F607">
        <v>2</v>
      </c>
      <c r="G607" t="s">
        <v>26</v>
      </c>
      <c r="H607" s="2">
        <v>46186</v>
      </c>
    </row>
    <row r="608" spans="1:9" x14ac:dyDescent="0.35">
      <c r="A608" t="s">
        <v>634</v>
      </c>
      <c r="B608" s="2">
        <v>46201</v>
      </c>
      <c r="C608" t="s">
        <v>15</v>
      </c>
      <c r="D608" t="s">
        <v>16</v>
      </c>
      <c r="E608" t="s">
        <v>32</v>
      </c>
      <c r="F608">
        <v>14</v>
      </c>
      <c r="G608" t="s">
        <v>26</v>
      </c>
      <c r="H608" s="2">
        <v>46204</v>
      </c>
    </row>
    <row r="609" spans="1:9" x14ac:dyDescent="0.35">
      <c r="A609" t="s">
        <v>635</v>
      </c>
      <c r="B609" s="2">
        <v>46157</v>
      </c>
      <c r="C609" t="s">
        <v>15</v>
      </c>
      <c r="D609" t="s">
        <v>16</v>
      </c>
      <c r="E609" t="s">
        <v>46</v>
      </c>
      <c r="F609">
        <v>14</v>
      </c>
      <c r="G609" t="s">
        <v>13</v>
      </c>
      <c r="H609" s="2">
        <v>46160</v>
      </c>
      <c r="I609" s="2">
        <v>46159</v>
      </c>
    </row>
    <row r="610" spans="1:9" x14ac:dyDescent="0.35">
      <c r="A610" t="s">
        <v>636</v>
      </c>
      <c r="B610" s="2">
        <v>46116</v>
      </c>
      <c r="C610" t="s">
        <v>10</v>
      </c>
      <c r="D610" t="s">
        <v>11</v>
      </c>
      <c r="E610" t="s">
        <v>32</v>
      </c>
      <c r="F610">
        <v>4</v>
      </c>
      <c r="G610" t="s">
        <v>13</v>
      </c>
      <c r="H610" s="2">
        <v>46117</v>
      </c>
      <c r="I610" s="2">
        <v>46117</v>
      </c>
    </row>
    <row r="611" spans="1:9" x14ac:dyDescent="0.35">
      <c r="A611" t="s">
        <v>637</v>
      </c>
      <c r="B611" s="2">
        <v>46148</v>
      </c>
      <c r="C611" t="s">
        <v>34</v>
      </c>
      <c r="D611" t="s">
        <v>35</v>
      </c>
      <c r="E611" t="s">
        <v>46</v>
      </c>
      <c r="F611">
        <v>30</v>
      </c>
      <c r="G611" t="s">
        <v>13</v>
      </c>
      <c r="H611" s="2">
        <v>46151</v>
      </c>
      <c r="I611" s="2">
        <v>46150</v>
      </c>
    </row>
    <row r="612" spans="1:9" x14ac:dyDescent="0.35">
      <c r="A612" t="s">
        <v>638</v>
      </c>
      <c r="B612" s="2">
        <v>46182</v>
      </c>
      <c r="C612" t="s">
        <v>10</v>
      </c>
      <c r="D612" t="s">
        <v>11</v>
      </c>
      <c r="E612" t="s">
        <v>32</v>
      </c>
      <c r="F612">
        <v>6</v>
      </c>
      <c r="G612" t="s">
        <v>13</v>
      </c>
      <c r="H612" s="2">
        <v>46184</v>
      </c>
      <c r="I612" s="2">
        <v>46184</v>
      </c>
    </row>
    <row r="613" spans="1:9" x14ac:dyDescent="0.35">
      <c r="A613" t="s">
        <v>639</v>
      </c>
      <c r="B613" s="2">
        <v>46143</v>
      </c>
      <c r="C613" t="s">
        <v>34</v>
      </c>
      <c r="D613" t="s">
        <v>35</v>
      </c>
      <c r="E613" t="s">
        <v>55</v>
      </c>
      <c r="F613">
        <v>11</v>
      </c>
      <c r="G613" t="s">
        <v>13</v>
      </c>
      <c r="H613" s="2">
        <v>46147</v>
      </c>
      <c r="I613" s="2">
        <v>46146</v>
      </c>
    </row>
    <row r="614" spans="1:9" x14ac:dyDescent="0.35">
      <c r="A614" t="s">
        <v>640</v>
      </c>
      <c r="B614" s="2">
        <v>46131</v>
      </c>
      <c r="C614" t="s">
        <v>15</v>
      </c>
      <c r="D614" t="s">
        <v>16</v>
      </c>
      <c r="E614" t="s">
        <v>12</v>
      </c>
      <c r="F614">
        <v>3</v>
      </c>
      <c r="G614" t="s">
        <v>13</v>
      </c>
      <c r="H614" s="2">
        <v>46134</v>
      </c>
      <c r="I614" s="2">
        <v>46134</v>
      </c>
    </row>
    <row r="615" spans="1:9" x14ac:dyDescent="0.35">
      <c r="A615" t="s">
        <v>641</v>
      </c>
      <c r="B615" s="2">
        <v>46173</v>
      </c>
      <c r="C615" t="s">
        <v>34</v>
      </c>
      <c r="D615" t="s">
        <v>35</v>
      </c>
      <c r="E615" t="s">
        <v>46</v>
      </c>
      <c r="F615">
        <v>8</v>
      </c>
      <c r="G615" t="s">
        <v>13</v>
      </c>
      <c r="H615" s="2">
        <v>46174</v>
      </c>
      <c r="I615" s="2">
        <v>46173</v>
      </c>
    </row>
    <row r="616" spans="1:9" x14ac:dyDescent="0.35">
      <c r="A616" t="s">
        <v>642</v>
      </c>
      <c r="B616" s="2">
        <v>46166</v>
      </c>
      <c r="C616" t="s">
        <v>15</v>
      </c>
      <c r="D616" t="s">
        <v>16</v>
      </c>
      <c r="E616" t="s">
        <v>32</v>
      </c>
      <c r="F616">
        <v>3</v>
      </c>
      <c r="G616" t="s">
        <v>13</v>
      </c>
      <c r="H616" s="2">
        <v>46168</v>
      </c>
      <c r="I616" s="2">
        <v>46168</v>
      </c>
    </row>
    <row r="617" spans="1:9" x14ac:dyDescent="0.35">
      <c r="A617" t="s">
        <v>643</v>
      </c>
      <c r="B617" s="2">
        <v>46151</v>
      </c>
      <c r="C617" t="s">
        <v>34</v>
      </c>
      <c r="D617" t="s">
        <v>35</v>
      </c>
      <c r="E617" t="s">
        <v>17</v>
      </c>
      <c r="F617">
        <v>14</v>
      </c>
      <c r="G617" t="s">
        <v>13</v>
      </c>
      <c r="H617" s="2">
        <v>46155</v>
      </c>
      <c r="I617" s="2">
        <v>46154</v>
      </c>
    </row>
    <row r="618" spans="1:9" x14ac:dyDescent="0.35">
      <c r="A618" t="s">
        <v>644</v>
      </c>
      <c r="B618" s="2">
        <v>46203</v>
      </c>
      <c r="C618" t="s">
        <v>15</v>
      </c>
      <c r="D618" t="s">
        <v>16</v>
      </c>
      <c r="E618" t="s">
        <v>24</v>
      </c>
      <c r="F618">
        <v>28</v>
      </c>
      <c r="G618" t="s">
        <v>13</v>
      </c>
      <c r="H618" s="2">
        <v>46207</v>
      </c>
      <c r="I618" s="2">
        <v>46206</v>
      </c>
    </row>
    <row r="619" spans="1:9" x14ac:dyDescent="0.35">
      <c r="A619" t="s">
        <v>645</v>
      </c>
      <c r="B619" s="2">
        <v>46186</v>
      </c>
      <c r="C619" t="s">
        <v>19</v>
      </c>
      <c r="D619" t="s">
        <v>20</v>
      </c>
      <c r="E619" t="s">
        <v>55</v>
      </c>
      <c r="F619">
        <v>13</v>
      </c>
      <c r="G619" t="s">
        <v>13</v>
      </c>
      <c r="H619" s="2">
        <v>46189</v>
      </c>
      <c r="I619" s="2">
        <v>46189</v>
      </c>
    </row>
    <row r="620" spans="1:9" x14ac:dyDescent="0.35">
      <c r="A620" t="s">
        <v>646</v>
      </c>
      <c r="B620" s="2">
        <v>46202</v>
      </c>
      <c r="C620" t="s">
        <v>15</v>
      </c>
      <c r="D620" t="s">
        <v>16</v>
      </c>
      <c r="E620" t="s">
        <v>55</v>
      </c>
      <c r="F620">
        <v>13</v>
      </c>
      <c r="G620" t="s">
        <v>13</v>
      </c>
      <c r="H620" s="2">
        <v>46206</v>
      </c>
      <c r="I620" s="2">
        <v>46205</v>
      </c>
    </row>
    <row r="621" spans="1:9" x14ac:dyDescent="0.35">
      <c r="A621" t="s">
        <v>647</v>
      </c>
      <c r="B621" s="2">
        <v>46131</v>
      </c>
      <c r="C621" t="s">
        <v>19</v>
      </c>
      <c r="D621" t="s">
        <v>20</v>
      </c>
      <c r="E621" t="s">
        <v>24</v>
      </c>
      <c r="F621">
        <v>2</v>
      </c>
      <c r="G621" t="s">
        <v>26</v>
      </c>
      <c r="H621" s="2">
        <v>46134</v>
      </c>
    </row>
    <row r="622" spans="1:9" x14ac:dyDescent="0.35">
      <c r="A622" t="s">
        <v>648</v>
      </c>
      <c r="B622" s="2">
        <v>46151</v>
      </c>
      <c r="C622" t="s">
        <v>34</v>
      </c>
      <c r="D622" t="s">
        <v>35</v>
      </c>
      <c r="E622" t="s">
        <v>32</v>
      </c>
      <c r="F622">
        <v>13</v>
      </c>
      <c r="G622" t="s">
        <v>13</v>
      </c>
      <c r="H622" s="2">
        <v>46154</v>
      </c>
      <c r="I622" s="2">
        <v>46154</v>
      </c>
    </row>
    <row r="623" spans="1:9" x14ac:dyDescent="0.35">
      <c r="A623" t="s">
        <v>649</v>
      </c>
      <c r="B623" s="2">
        <v>46179</v>
      </c>
      <c r="C623" t="s">
        <v>19</v>
      </c>
      <c r="D623" t="s">
        <v>20</v>
      </c>
      <c r="E623" t="s">
        <v>17</v>
      </c>
      <c r="F623">
        <v>29</v>
      </c>
      <c r="G623" t="s">
        <v>13</v>
      </c>
      <c r="H623" s="2">
        <v>46181</v>
      </c>
      <c r="I623" s="2">
        <v>46181</v>
      </c>
    </row>
    <row r="624" spans="1:9" x14ac:dyDescent="0.35">
      <c r="A624" t="s">
        <v>650</v>
      </c>
      <c r="B624" s="2">
        <v>46157</v>
      </c>
      <c r="C624" t="s">
        <v>10</v>
      </c>
      <c r="D624" t="s">
        <v>11</v>
      </c>
      <c r="E624" t="s">
        <v>22</v>
      </c>
      <c r="F624">
        <v>19</v>
      </c>
      <c r="G624" t="s">
        <v>13</v>
      </c>
      <c r="H624" s="2">
        <v>46159</v>
      </c>
      <c r="I624" s="2">
        <v>46159</v>
      </c>
    </row>
    <row r="625" spans="1:9" x14ac:dyDescent="0.35">
      <c r="A625" t="s">
        <v>651</v>
      </c>
      <c r="B625" s="2">
        <v>46125</v>
      </c>
      <c r="C625" t="s">
        <v>10</v>
      </c>
      <c r="D625" t="s">
        <v>11</v>
      </c>
      <c r="E625" t="s">
        <v>24</v>
      </c>
      <c r="F625">
        <v>27</v>
      </c>
      <c r="G625" t="s">
        <v>26</v>
      </c>
      <c r="H625" s="2">
        <v>46126</v>
      </c>
    </row>
    <row r="626" spans="1:9" x14ac:dyDescent="0.35">
      <c r="A626" t="s">
        <v>652</v>
      </c>
      <c r="B626" s="2">
        <v>46170</v>
      </c>
      <c r="C626" t="s">
        <v>19</v>
      </c>
      <c r="D626" t="s">
        <v>20</v>
      </c>
      <c r="E626" t="s">
        <v>32</v>
      </c>
      <c r="F626">
        <v>6</v>
      </c>
      <c r="G626" t="s">
        <v>13</v>
      </c>
      <c r="H626" s="2">
        <v>46172</v>
      </c>
      <c r="I626" s="2">
        <v>46171</v>
      </c>
    </row>
    <row r="627" spans="1:9" x14ac:dyDescent="0.35">
      <c r="A627" t="s">
        <v>653</v>
      </c>
      <c r="B627" s="2">
        <v>46132</v>
      </c>
      <c r="C627" t="s">
        <v>34</v>
      </c>
      <c r="D627" t="s">
        <v>35</v>
      </c>
      <c r="E627" t="s">
        <v>24</v>
      </c>
      <c r="F627">
        <v>16</v>
      </c>
      <c r="G627" t="s">
        <v>13</v>
      </c>
      <c r="H627" s="2">
        <v>46134</v>
      </c>
      <c r="I627" s="2">
        <v>46133</v>
      </c>
    </row>
    <row r="628" spans="1:9" x14ac:dyDescent="0.35">
      <c r="A628" t="s">
        <v>654</v>
      </c>
      <c r="B628" s="2">
        <v>46184</v>
      </c>
      <c r="C628" t="s">
        <v>10</v>
      </c>
      <c r="D628" t="s">
        <v>11</v>
      </c>
      <c r="E628" t="s">
        <v>24</v>
      </c>
      <c r="F628">
        <v>2</v>
      </c>
      <c r="G628" t="s">
        <v>13</v>
      </c>
      <c r="H628" s="2">
        <v>46187</v>
      </c>
      <c r="I628" s="2">
        <v>46187</v>
      </c>
    </row>
    <row r="629" spans="1:9" x14ac:dyDescent="0.35">
      <c r="A629" t="s">
        <v>655</v>
      </c>
      <c r="B629" s="2">
        <v>46173</v>
      </c>
      <c r="C629" t="s">
        <v>34</v>
      </c>
      <c r="D629" t="s">
        <v>35</v>
      </c>
      <c r="E629" t="s">
        <v>46</v>
      </c>
      <c r="F629">
        <v>8</v>
      </c>
      <c r="G629" t="s">
        <v>26</v>
      </c>
      <c r="H629" s="2">
        <v>46175</v>
      </c>
    </row>
    <row r="630" spans="1:9" x14ac:dyDescent="0.35">
      <c r="A630" t="s">
        <v>656</v>
      </c>
      <c r="B630" s="2">
        <v>46151</v>
      </c>
      <c r="C630" t="s">
        <v>10</v>
      </c>
      <c r="D630" t="s">
        <v>11</v>
      </c>
      <c r="E630" t="s">
        <v>32</v>
      </c>
      <c r="F630">
        <v>17</v>
      </c>
      <c r="G630" t="s">
        <v>62</v>
      </c>
      <c r="H630" s="2">
        <v>46154</v>
      </c>
      <c r="I630" s="2">
        <v>46157</v>
      </c>
    </row>
    <row r="631" spans="1:9" x14ac:dyDescent="0.35">
      <c r="A631" t="s">
        <v>657</v>
      </c>
      <c r="B631" s="2">
        <v>46113</v>
      </c>
      <c r="C631" t="s">
        <v>15</v>
      </c>
      <c r="D631" t="s">
        <v>16</v>
      </c>
      <c r="E631" t="s">
        <v>22</v>
      </c>
      <c r="F631">
        <v>23</v>
      </c>
      <c r="G631" t="s">
        <v>13</v>
      </c>
      <c r="H631" s="2">
        <v>46116</v>
      </c>
      <c r="I631" s="2">
        <v>46115</v>
      </c>
    </row>
    <row r="632" spans="1:9" x14ac:dyDescent="0.35">
      <c r="A632" t="s">
        <v>658</v>
      </c>
      <c r="B632" s="2">
        <v>46115</v>
      </c>
      <c r="C632" t="s">
        <v>34</v>
      </c>
      <c r="D632" t="s">
        <v>35</v>
      </c>
      <c r="E632" t="s">
        <v>12</v>
      </c>
      <c r="F632">
        <v>2</v>
      </c>
      <c r="G632" t="s">
        <v>26</v>
      </c>
      <c r="H632" s="2">
        <v>46117</v>
      </c>
    </row>
    <row r="633" spans="1:9" x14ac:dyDescent="0.35">
      <c r="A633" t="s">
        <v>659</v>
      </c>
      <c r="B633" s="2">
        <v>46189</v>
      </c>
      <c r="C633" t="s">
        <v>10</v>
      </c>
      <c r="D633" t="s">
        <v>11</v>
      </c>
      <c r="E633" t="s">
        <v>46</v>
      </c>
      <c r="F633">
        <v>10</v>
      </c>
      <c r="G633" t="s">
        <v>62</v>
      </c>
      <c r="H633" s="2">
        <v>46190</v>
      </c>
      <c r="I633" s="2">
        <v>46192</v>
      </c>
    </row>
    <row r="634" spans="1:9" x14ac:dyDescent="0.35">
      <c r="A634" t="s">
        <v>660</v>
      </c>
      <c r="B634" s="2">
        <v>46174</v>
      </c>
      <c r="C634" t="s">
        <v>10</v>
      </c>
      <c r="D634" t="s">
        <v>11</v>
      </c>
      <c r="E634" t="s">
        <v>24</v>
      </c>
      <c r="F634">
        <v>28</v>
      </c>
      <c r="G634" t="s">
        <v>62</v>
      </c>
      <c r="H634" s="2">
        <v>46175</v>
      </c>
      <c r="I634" s="2">
        <v>46179</v>
      </c>
    </row>
    <row r="635" spans="1:9" x14ac:dyDescent="0.35">
      <c r="A635" t="s">
        <v>661</v>
      </c>
      <c r="B635" s="2">
        <v>46175</v>
      </c>
      <c r="C635" t="s">
        <v>19</v>
      </c>
      <c r="D635" t="s">
        <v>20</v>
      </c>
      <c r="E635" t="s">
        <v>12</v>
      </c>
      <c r="F635">
        <v>16</v>
      </c>
      <c r="G635" t="s">
        <v>13</v>
      </c>
      <c r="H635" s="2">
        <v>46179</v>
      </c>
      <c r="I635" s="2">
        <v>46179</v>
      </c>
    </row>
    <row r="636" spans="1:9" x14ac:dyDescent="0.35">
      <c r="A636" t="s">
        <v>662</v>
      </c>
      <c r="B636" s="2">
        <v>46137</v>
      </c>
      <c r="C636" t="s">
        <v>10</v>
      </c>
      <c r="D636" t="s">
        <v>11</v>
      </c>
      <c r="E636" t="s">
        <v>43</v>
      </c>
      <c r="F636">
        <v>6</v>
      </c>
      <c r="G636" t="s">
        <v>13</v>
      </c>
      <c r="H636" s="2">
        <v>46141</v>
      </c>
      <c r="I636" s="2">
        <v>46141</v>
      </c>
    </row>
    <row r="637" spans="1:9" x14ac:dyDescent="0.35">
      <c r="A637" t="s">
        <v>663</v>
      </c>
      <c r="B637" s="2">
        <v>46168</v>
      </c>
      <c r="C637" t="s">
        <v>19</v>
      </c>
      <c r="D637" t="s">
        <v>20</v>
      </c>
      <c r="E637" t="s">
        <v>12</v>
      </c>
      <c r="F637">
        <v>28</v>
      </c>
      <c r="G637" t="s">
        <v>13</v>
      </c>
      <c r="H637" s="2">
        <v>46170</v>
      </c>
      <c r="I637" s="2">
        <v>46170</v>
      </c>
    </row>
    <row r="638" spans="1:9" x14ac:dyDescent="0.35">
      <c r="A638" t="s">
        <v>664</v>
      </c>
      <c r="B638" s="2">
        <v>46145</v>
      </c>
      <c r="C638" t="s">
        <v>15</v>
      </c>
      <c r="D638" t="s">
        <v>16</v>
      </c>
      <c r="E638" t="s">
        <v>24</v>
      </c>
      <c r="F638">
        <v>2</v>
      </c>
      <c r="G638" t="s">
        <v>26</v>
      </c>
      <c r="H638" s="2">
        <v>46146</v>
      </c>
    </row>
    <row r="639" spans="1:9" x14ac:dyDescent="0.35">
      <c r="A639" t="s">
        <v>665</v>
      </c>
      <c r="B639" s="2">
        <v>46150</v>
      </c>
      <c r="C639" t="s">
        <v>34</v>
      </c>
      <c r="D639" t="s">
        <v>35</v>
      </c>
      <c r="E639" t="s">
        <v>24</v>
      </c>
      <c r="F639">
        <v>2</v>
      </c>
      <c r="G639" t="s">
        <v>13</v>
      </c>
      <c r="H639" s="2">
        <v>46153</v>
      </c>
      <c r="I639" s="2">
        <v>46153</v>
      </c>
    </row>
    <row r="640" spans="1:9" x14ac:dyDescent="0.35">
      <c r="A640" t="s">
        <v>666</v>
      </c>
      <c r="B640" s="2">
        <v>46118</v>
      </c>
      <c r="C640" t="s">
        <v>34</v>
      </c>
      <c r="D640" t="s">
        <v>35</v>
      </c>
      <c r="E640" t="s">
        <v>17</v>
      </c>
      <c r="F640">
        <v>26</v>
      </c>
      <c r="G640" t="s">
        <v>13</v>
      </c>
      <c r="H640" s="2">
        <v>46122</v>
      </c>
      <c r="I640" s="2">
        <v>46122</v>
      </c>
    </row>
    <row r="641" spans="1:9" x14ac:dyDescent="0.35">
      <c r="A641" t="s">
        <v>667</v>
      </c>
      <c r="B641" s="2">
        <v>46170</v>
      </c>
      <c r="C641" t="s">
        <v>34</v>
      </c>
      <c r="D641" t="s">
        <v>35</v>
      </c>
      <c r="E641" t="s">
        <v>32</v>
      </c>
      <c r="F641">
        <v>13</v>
      </c>
      <c r="G641" t="s">
        <v>13</v>
      </c>
      <c r="H641" s="2">
        <v>46173</v>
      </c>
      <c r="I641" s="2">
        <v>46172</v>
      </c>
    </row>
    <row r="642" spans="1:9" x14ac:dyDescent="0.35">
      <c r="A642" t="s">
        <v>668</v>
      </c>
      <c r="B642" s="2">
        <v>46156</v>
      </c>
      <c r="C642" t="s">
        <v>19</v>
      </c>
      <c r="D642" t="s">
        <v>20</v>
      </c>
      <c r="E642" t="s">
        <v>32</v>
      </c>
      <c r="F642">
        <v>24</v>
      </c>
      <c r="G642" t="s">
        <v>26</v>
      </c>
      <c r="H642" s="2">
        <v>46160</v>
      </c>
    </row>
    <row r="643" spans="1:9" x14ac:dyDescent="0.35">
      <c r="A643" t="s">
        <v>669</v>
      </c>
      <c r="B643" s="2">
        <v>46157</v>
      </c>
      <c r="C643" t="s">
        <v>15</v>
      </c>
      <c r="D643" t="s">
        <v>16</v>
      </c>
      <c r="E643" t="s">
        <v>46</v>
      </c>
      <c r="F643">
        <v>15</v>
      </c>
      <c r="G643" t="s">
        <v>26</v>
      </c>
      <c r="H643" s="2">
        <v>46159</v>
      </c>
    </row>
    <row r="644" spans="1:9" x14ac:dyDescent="0.35">
      <c r="A644" t="s">
        <v>670</v>
      </c>
      <c r="B644" s="2">
        <v>46144</v>
      </c>
      <c r="C644" t="s">
        <v>19</v>
      </c>
      <c r="D644" t="s">
        <v>20</v>
      </c>
      <c r="E644" t="s">
        <v>22</v>
      </c>
      <c r="F644">
        <v>28</v>
      </c>
      <c r="G644" t="s">
        <v>13</v>
      </c>
      <c r="H644" s="2">
        <v>46145</v>
      </c>
      <c r="I644" s="2">
        <v>46145</v>
      </c>
    </row>
    <row r="645" spans="1:9" x14ac:dyDescent="0.35">
      <c r="A645" t="s">
        <v>671</v>
      </c>
      <c r="B645" s="2">
        <v>46157</v>
      </c>
      <c r="C645" t="s">
        <v>34</v>
      </c>
      <c r="D645" t="s">
        <v>35</v>
      </c>
      <c r="E645" t="s">
        <v>46</v>
      </c>
      <c r="F645">
        <v>2</v>
      </c>
      <c r="G645" t="s">
        <v>26</v>
      </c>
      <c r="H645" s="2">
        <v>46161</v>
      </c>
    </row>
    <row r="646" spans="1:9" x14ac:dyDescent="0.35">
      <c r="A646" t="s">
        <v>672</v>
      </c>
      <c r="B646" s="2">
        <v>46173</v>
      </c>
      <c r="C646" t="s">
        <v>10</v>
      </c>
      <c r="D646" t="s">
        <v>11</v>
      </c>
      <c r="E646" t="s">
        <v>55</v>
      </c>
      <c r="F646">
        <v>7</v>
      </c>
      <c r="G646" t="s">
        <v>13</v>
      </c>
      <c r="H646" s="2">
        <v>46174</v>
      </c>
      <c r="I646" s="2">
        <v>46173</v>
      </c>
    </row>
    <row r="647" spans="1:9" x14ac:dyDescent="0.35">
      <c r="A647" t="s">
        <v>673</v>
      </c>
      <c r="B647" s="2">
        <v>46159</v>
      </c>
      <c r="C647" t="s">
        <v>10</v>
      </c>
      <c r="D647" t="s">
        <v>11</v>
      </c>
      <c r="E647" t="s">
        <v>24</v>
      </c>
      <c r="F647">
        <v>3</v>
      </c>
      <c r="G647" t="s">
        <v>26</v>
      </c>
      <c r="H647" s="2">
        <v>46162</v>
      </c>
    </row>
    <row r="648" spans="1:9" x14ac:dyDescent="0.35">
      <c r="A648" t="s">
        <v>674</v>
      </c>
      <c r="B648" s="2">
        <v>46133</v>
      </c>
      <c r="C648" t="s">
        <v>34</v>
      </c>
      <c r="D648" t="s">
        <v>35</v>
      </c>
      <c r="E648" t="s">
        <v>12</v>
      </c>
      <c r="F648">
        <v>8</v>
      </c>
      <c r="G648" t="s">
        <v>13</v>
      </c>
      <c r="H648" s="2">
        <v>46135</v>
      </c>
      <c r="I648" s="2">
        <v>46134</v>
      </c>
    </row>
    <row r="649" spans="1:9" x14ac:dyDescent="0.35">
      <c r="A649" t="s">
        <v>675</v>
      </c>
      <c r="B649" s="2">
        <v>46192</v>
      </c>
      <c r="C649" t="s">
        <v>34</v>
      </c>
      <c r="D649" t="s">
        <v>35</v>
      </c>
      <c r="E649" t="s">
        <v>43</v>
      </c>
      <c r="F649">
        <v>23</v>
      </c>
      <c r="G649" t="s">
        <v>13</v>
      </c>
      <c r="H649" s="2">
        <v>46193</v>
      </c>
      <c r="I649" s="2">
        <v>46193</v>
      </c>
    </row>
    <row r="650" spans="1:9" x14ac:dyDescent="0.35">
      <c r="A650" t="s">
        <v>676</v>
      </c>
      <c r="B650" s="2">
        <v>46197</v>
      </c>
      <c r="C650" t="s">
        <v>34</v>
      </c>
      <c r="D650" t="s">
        <v>35</v>
      </c>
      <c r="E650" t="s">
        <v>24</v>
      </c>
      <c r="F650">
        <v>14</v>
      </c>
      <c r="G650" t="s">
        <v>62</v>
      </c>
      <c r="H650" s="2">
        <v>46199</v>
      </c>
      <c r="I650" s="2">
        <v>46203</v>
      </c>
    </row>
    <row r="651" spans="1:9" x14ac:dyDescent="0.35">
      <c r="A651" t="s">
        <v>677</v>
      </c>
      <c r="B651" s="2">
        <v>46187</v>
      </c>
      <c r="C651" t="s">
        <v>15</v>
      </c>
      <c r="D651" t="s">
        <v>16</v>
      </c>
      <c r="E651" t="s">
        <v>24</v>
      </c>
      <c r="F651">
        <v>24</v>
      </c>
      <c r="G651" t="s">
        <v>13</v>
      </c>
      <c r="H651" s="2">
        <v>46188</v>
      </c>
      <c r="I651" s="2">
        <v>46188</v>
      </c>
    </row>
    <row r="652" spans="1:9" x14ac:dyDescent="0.35">
      <c r="A652" t="s">
        <v>678</v>
      </c>
      <c r="B652" s="2">
        <v>46148</v>
      </c>
      <c r="C652" t="s">
        <v>34</v>
      </c>
      <c r="D652" t="s">
        <v>35</v>
      </c>
      <c r="E652" t="s">
        <v>46</v>
      </c>
      <c r="F652">
        <v>30</v>
      </c>
      <c r="G652" t="s">
        <v>26</v>
      </c>
      <c r="H652" s="2">
        <v>46151</v>
      </c>
    </row>
    <row r="653" spans="1:9" x14ac:dyDescent="0.35">
      <c r="A653" t="s">
        <v>679</v>
      </c>
      <c r="B653" s="2">
        <v>46131</v>
      </c>
      <c r="C653" t="s">
        <v>15</v>
      </c>
      <c r="D653" t="s">
        <v>16</v>
      </c>
      <c r="E653" t="s">
        <v>43</v>
      </c>
      <c r="F653">
        <v>23</v>
      </c>
      <c r="G653" t="s">
        <v>13</v>
      </c>
      <c r="H653" s="2">
        <v>46134</v>
      </c>
      <c r="I653" s="2">
        <v>46133</v>
      </c>
    </row>
    <row r="654" spans="1:9" x14ac:dyDescent="0.35">
      <c r="A654" t="s">
        <v>680</v>
      </c>
      <c r="B654" s="2">
        <v>46132</v>
      </c>
      <c r="C654" t="s">
        <v>34</v>
      </c>
      <c r="D654" t="s">
        <v>35</v>
      </c>
      <c r="E654" t="s">
        <v>43</v>
      </c>
      <c r="F654">
        <v>27</v>
      </c>
      <c r="G654" t="s">
        <v>13</v>
      </c>
      <c r="H654" s="2">
        <v>46134</v>
      </c>
      <c r="I654" s="2">
        <v>46134</v>
      </c>
    </row>
    <row r="655" spans="1:9" x14ac:dyDescent="0.35">
      <c r="A655" t="s">
        <v>681</v>
      </c>
      <c r="B655" s="2">
        <v>46169</v>
      </c>
      <c r="C655" t="s">
        <v>10</v>
      </c>
      <c r="D655" t="s">
        <v>11</v>
      </c>
      <c r="E655" t="s">
        <v>43</v>
      </c>
      <c r="F655">
        <v>22</v>
      </c>
      <c r="G655" t="s">
        <v>13</v>
      </c>
      <c r="H655" s="2">
        <v>46172</v>
      </c>
      <c r="I655" s="2">
        <v>46172</v>
      </c>
    </row>
    <row r="656" spans="1:9" x14ac:dyDescent="0.35">
      <c r="A656" t="s">
        <v>682</v>
      </c>
      <c r="B656" s="2">
        <v>46130</v>
      </c>
      <c r="C656" t="s">
        <v>10</v>
      </c>
      <c r="D656" t="s">
        <v>11</v>
      </c>
      <c r="E656" t="s">
        <v>46</v>
      </c>
      <c r="F656">
        <v>29</v>
      </c>
      <c r="G656" t="s">
        <v>13</v>
      </c>
      <c r="H656" s="2">
        <v>46134</v>
      </c>
      <c r="I656" s="2">
        <v>46133</v>
      </c>
    </row>
    <row r="657" spans="1:9" x14ac:dyDescent="0.35">
      <c r="A657" t="s">
        <v>683</v>
      </c>
      <c r="B657" s="2">
        <v>46159</v>
      </c>
      <c r="C657" t="s">
        <v>10</v>
      </c>
      <c r="D657" t="s">
        <v>11</v>
      </c>
      <c r="E657" t="s">
        <v>24</v>
      </c>
      <c r="F657">
        <v>7</v>
      </c>
      <c r="G657" t="s">
        <v>13</v>
      </c>
      <c r="H657" s="2">
        <v>46160</v>
      </c>
      <c r="I657" s="2">
        <v>46160</v>
      </c>
    </row>
    <row r="658" spans="1:9" x14ac:dyDescent="0.35">
      <c r="A658" t="s">
        <v>684</v>
      </c>
      <c r="B658" s="2">
        <v>46161</v>
      </c>
      <c r="C658" t="s">
        <v>15</v>
      </c>
      <c r="D658" t="s">
        <v>16</v>
      </c>
      <c r="E658" t="s">
        <v>46</v>
      </c>
      <c r="F658">
        <v>21</v>
      </c>
      <c r="G658" t="s">
        <v>13</v>
      </c>
      <c r="H658" s="2">
        <v>46164</v>
      </c>
      <c r="I658" s="2">
        <v>46163</v>
      </c>
    </row>
    <row r="659" spans="1:9" x14ac:dyDescent="0.35">
      <c r="A659" t="s">
        <v>685</v>
      </c>
      <c r="B659" s="2">
        <v>46126</v>
      </c>
      <c r="C659" t="s">
        <v>10</v>
      </c>
      <c r="D659" t="s">
        <v>11</v>
      </c>
      <c r="E659" t="s">
        <v>32</v>
      </c>
      <c r="F659">
        <v>7</v>
      </c>
      <c r="G659" t="s">
        <v>13</v>
      </c>
      <c r="H659" s="2">
        <v>46130</v>
      </c>
      <c r="I659" s="2">
        <v>46130</v>
      </c>
    </row>
    <row r="660" spans="1:9" x14ac:dyDescent="0.35">
      <c r="A660" t="s">
        <v>686</v>
      </c>
      <c r="B660" s="2">
        <v>46127</v>
      </c>
      <c r="C660" t="s">
        <v>34</v>
      </c>
      <c r="D660" t="s">
        <v>35</v>
      </c>
      <c r="E660" t="s">
        <v>32</v>
      </c>
      <c r="F660">
        <v>1</v>
      </c>
      <c r="G660" t="s">
        <v>13</v>
      </c>
      <c r="H660" s="2">
        <v>46129</v>
      </c>
      <c r="I660" s="2">
        <v>46129</v>
      </c>
    </row>
    <row r="661" spans="1:9" x14ac:dyDescent="0.35">
      <c r="A661" t="s">
        <v>687</v>
      </c>
      <c r="B661" s="2">
        <v>46143</v>
      </c>
      <c r="C661" t="s">
        <v>34</v>
      </c>
      <c r="D661" t="s">
        <v>35</v>
      </c>
      <c r="E661" t="s">
        <v>46</v>
      </c>
      <c r="F661">
        <v>17</v>
      </c>
      <c r="G661" t="s">
        <v>62</v>
      </c>
      <c r="H661" s="2">
        <v>46147</v>
      </c>
      <c r="I661" s="2">
        <v>46148</v>
      </c>
    </row>
    <row r="662" spans="1:9" x14ac:dyDescent="0.35">
      <c r="A662" t="s">
        <v>688</v>
      </c>
      <c r="B662" s="2">
        <v>46113</v>
      </c>
      <c r="C662" t="s">
        <v>19</v>
      </c>
      <c r="D662" t="s">
        <v>20</v>
      </c>
      <c r="E662" t="s">
        <v>43</v>
      </c>
      <c r="F662">
        <v>9</v>
      </c>
      <c r="G662" t="s">
        <v>62</v>
      </c>
      <c r="H662" s="2">
        <v>46115</v>
      </c>
      <c r="I662" s="2">
        <v>46119</v>
      </c>
    </row>
    <row r="663" spans="1:9" x14ac:dyDescent="0.35">
      <c r="A663" t="s">
        <v>689</v>
      </c>
      <c r="B663" s="2">
        <v>46166</v>
      </c>
      <c r="C663" t="s">
        <v>15</v>
      </c>
      <c r="D663" t="s">
        <v>16</v>
      </c>
      <c r="E663" t="s">
        <v>17</v>
      </c>
      <c r="F663">
        <v>30</v>
      </c>
      <c r="G663" t="s">
        <v>13</v>
      </c>
      <c r="H663" s="2">
        <v>46168</v>
      </c>
      <c r="I663" s="2">
        <v>46167</v>
      </c>
    </row>
    <row r="664" spans="1:9" x14ac:dyDescent="0.35">
      <c r="A664" t="s">
        <v>690</v>
      </c>
      <c r="B664" s="2">
        <v>46115</v>
      </c>
      <c r="C664" t="s">
        <v>10</v>
      </c>
      <c r="D664" t="s">
        <v>11</v>
      </c>
      <c r="E664" t="s">
        <v>24</v>
      </c>
      <c r="F664">
        <v>21</v>
      </c>
      <c r="G664" t="s">
        <v>26</v>
      </c>
      <c r="H664" s="2">
        <v>46116</v>
      </c>
    </row>
    <row r="665" spans="1:9" x14ac:dyDescent="0.35">
      <c r="A665" t="s">
        <v>691</v>
      </c>
      <c r="B665" s="2">
        <v>46128</v>
      </c>
      <c r="C665" t="s">
        <v>10</v>
      </c>
      <c r="D665" t="s">
        <v>11</v>
      </c>
      <c r="E665" t="s">
        <v>46</v>
      </c>
      <c r="F665">
        <v>13</v>
      </c>
      <c r="G665" t="s">
        <v>13</v>
      </c>
      <c r="H665" s="2">
        <v>46129</v>
      </c>
      <c r="I665" s="2">
        <v>46129</v>
      </c>
    </row>
    <row r="666" spans="1:9" x14ac:dyDescent="0.35">
      <c r="A666" t="s">
        <v>692</v>
      </c>
      <c r="B666" s="2">
        <v>46199</v>
      </c>
      <c r="C666" t="s">
        <v>34</v>
      </c>
      <c r="D666" t="s">
        <v>35</v>
      </c>
      <c r="E666" t="s">
        <v>46</v>
      </c>
      <c r="F666">
        <v>21</v>
      </c>
      <c r="G666" t="s">
        <v>13</v>
      </c>
      <c r="H666" s="2">
        <v>46203</v>
      </c>
      <c r="I666" s="2">
        <v>46202</v>
      </c>
    </row>
    <row r="667" spans="1:9" x14ac:dyDescent="0.35">
      <c r="A667" t="s">
        <v>693</v>
      </c>
      <c r="B667" s="2">
        <v>46169</v>
      </c>
      <c r="C667" t="s">
        <v>15</v>
      </c>
      <c r="D667" t="s">
        <v>16</v>
      </c>
      <c r="E667" t="s">
        <v>46</v>
      </c>
      <c r="F667">
        <v>19</v>
      </c>
      <c r="G667" t="s">
        <v>26</v>
      </c>
      <c r="H667" s="2">
        <v>46170</v>
      </c>
    </row>
    <row r="668" spans="1:9" x14ac:dyDescent="0.35">
      <c r="A668" t="s">
        <v>694</v>
      </c>
      <c r="B668" s="2">
        <v>46187</v>
      </c>
      <c r="C668" t="s">
        <v>15</v>
      </c>
      <c r="D668" t="s">
        <v>16</v>
      </c>
      <c r="E668" t="s">
        <v>17</v>
      </c>
      <c r="F668">
        <v>21</v>
      </c>
      <c r="G668" t="s">
        <v>62</v>
      </c>
      <c r="H668" s="2">
        <v>46188</v>
      </c>
      <c r="I668" s="2">
        <v>46189</v>
      </c>
    </row>
    <row r="669" spans="1:9" x14ac:dyDescent="0.35">
      <c r="A669" t="s">
        <v>695</v>
      </c>
      <c r="B669" s="2">
        <v>46124</v>
      </c>
      <c r="C669" t="s">
        <v>19</v>
      </c>
      <c r="D669" t="s">
        <v>20</v>
      </c>
      <c r="E669" t="s">
        <v>17</v>
      </c>
      <c r="F669">
        <v>19</v>
      </c>
      <c r="G669" t="s">
        <v>13</v>
      </c>
      <c r="H669" s="2">
        <v>46125</v>
      </c>
      <c r="I669" s="2">
        <v>46124</v>
      </c>
    </row>
    <row r="670" spans="1:9" x14ac:dyDescent="0.35">
      <c r="A670" t="s">
        <v>696</v>
      </c>
      <c r="B670" s="2">
        <v>46186</v>
      </c>
      <c r="C670" t="s">
        <v>34</v>
      </c>
      <c r="D670" t="s">
        <v>35</v>
      </c>
      <c r="E670" t="s">
        <v>55</v>
      </c>
      <c r="F670">
        <v>25</v>
      </c>
      <c r="G670" t="s">
        <v>26</v>
      </c>
      <c r="H670" s="2">
        <v>46190</v>
      </c>
    </row>
    <row r="671" spans="1:9" x14ac:dyDescent="0.35">
      <c r="A671" t="s">
        <v>697</v>
      </c>
      <c r="B671" s="2">
        <v>46128</v>
      </c>
      <c r="C671" t="s">
        <v>34</v>
      </c>
      <c r="D671" t="s">
        <v>35</v>
      </c>
      <c r="E671" t="s">
        <v>32</v>
      </c>
      <c r="F671">
        <v>25</v>
      </c>
      <c r="G671" t="s">
        <v>13</v>
      </c>
      <c r="H671" s="2">
        <v>46131</v>
      </c>
      <c r="I671" s="2">
        <v>46130</v>
      </c>
    </row>
    <row r="672" spans="1:9" x14ac:dyDescent="0.35">
      <c r="A672" t="s">
        <v>698</v>
      </c>
      <c r="B672" s="2">
        <v>46184</v>
      </c>
      <c r="C672" t="s">
        <v>34</v>
      </c>
      <c r="D672" t="s">
        <v>35</v>
      </c>
      <c r="E672" t="s">
        <v>12</v>
      </c>
      <c r="F672">
        <v>22</v>
      </c>
      <c r="G672" t="s">
        <v>62</v>
      </c>
      <c r="H672" s="2">
        <v>46185</v>
      </c>
      <c r="I672" s="2">
        <v>46186</v>
      </c>
    </row>
    <row r="673" spans="1:9" x14ac:dyDescent="0.35">
      <c r="A673" t="s">
        <v>699</v>
      </c>
      <c r="B673" s="2">
        <v>46188</v>
      </c>
      <c r="C673" t="s">
        <v>10</v>
      </c>
      <c r="D673" t="s">
        <v>11</v>
      </c>
      <c r="E673" t="s">
        <v>43</v>
      </c>
      <c r="F673">
        <v>17</v>
      </c>
      <c r="G673" t="s">
        <v>13</v>
      </c>
      <c r="H673" s="2">
        <v>46189</v>
      </c>
      <c r="I673" s="2">
        <v>46189</v>
      </c>
    </row>
    <row r="674" spans="1:9" x14ac:dyDescent="0.35">
      <c r="A674" t="s">
        <v>700</v>
      </c>
      <c r="B674" s="2">
        <v>46136</v>
      </c>
      <c r="C674" t="s">
        <v>15</v>
      </c>
      <c r="D674" t="s">
        <v>16</v>
      </c>
      <c r="E674" t="s">
        <v>22</v>
      </c>
      <c r="F674">
        <v>23</v>
      </c>
      <c r="G674" t="s">
        <v>13</v>
      </c>
      <c r="H674" s="2">
        <v>46140</v>
      </c>
      <c r="I674" s="2">
        <v>46140</v>
      </c>
    </row>
    <row r="675" spans="1:9" x14ac:dyDescent="0.35">
      <c r="A675" t="s">
        <v>701</v>
      </c>
      <c r="B675" s="2">
        <v>46140</v>
      </c>
      <c r="C675" t="s">
        <v>34</v>
      </c>
      <c r="D675" t="s">
        <v>35</v>
      </c>
      <c r="E675" t="s">
        <v>17</v>
      </c>
      <c r="F675">
        <v>23</v>
      </c>
      <c r="G675" t="s">
        <v>13</v>
      </c>
      <c r="H675" s="2">
        <v>46143</v>
      </c>
      <c r="I675" s="2">
        <v>46143</v>
      </c>
    </row>
    <row r="676" spans="1:9" x14ac:dyDescent="0.35">
      <c r="A676" t="s">
        <v>702</v>
      </c>
      <c r="B676" s="2">
        <v>46120</v>
      </c>
      <c r="C676" t="s">
        <v>10</v>
      </c>
      <c r="D676" t="s">
        <v>11</v>
      </c>
      <c r="E676" t="s">
        <v>12</v>
      </c>
      <c r="F676">
        <v>30</v>
      </c>
      <c r="G676" t="s">
        <v>13</v>
      </c>
      <c r="H676" s="2">
        <v>46121</v>
      </c>
      <c r="I676" s="2">
        <v>46121</v>
      </c>
    </row>
    <row r="677" spans="1:9" x14ac:dyDescent="0.35">
      <c r="A677" t="s">
        <v>703</v>
      </c>
      <c r="B677" s="2">
        <v>46148</v>
      </c>
      <c r="C677" t="s">
        <v>19</v>
      </c>
      <c r="D677" t="s">
        <v>20</v>
      </c>
      <c r="E677" t="s">
        <v>17</v>
      </c>
      <c r="F677">
        <v>10</v>
      </c>
      <c r="G677" t="s">
        <v>13</v>
      </c>
      <c r="H677" s="2">
        <v>46150</v>
      </c>
      <c r="I677" s="2">
        <v>46149</v>
      </c>
    </row>
    <row r="678" spans="1:9" x14ac:dyDescent="0.35">
      <c r="A678" t="s">
        <v>704</v>
      </c>
      <c r="B678" s="2">
        <v>46202</v>
      </c>
      <c r="C678" t="s">
        <v>15</v>
      </c>
      <c r="D678" t="s">
        <v>16</v>
      </c>
      <c r="E678" t="s">
        <v>43</v>
      </c>
      <c r="F678">
        <v>10</v>
      </c>
      <c r="G678" t="s">
        <v>62</v>
      </c>
      <c r="H678" s="2">
        <v>46206</v>
      </c>
      <c r="I678" s="2">
        <v>46208</v>
      </c>
    </row>
    <row r="679" spans="1:9" x14ac:dyDescent="0.35">
      <c r="A679" t="s">
        <v>705</v>
      </c>
      <c r="B679" s="2">
        <v>46120</v>
      </c>
      <c r="C679" t="s">
        <v>34</v>
      </c>
      <c r="D679" t="s">
        <v>35</v>
      </c>
      <c r="E679" t="s">
        <v>22</v>
      </c>
      <c r="F679">
        <v>4</v>
      </c>
      <c r="G679" t="s">
        <v>13</v>
      </c>
      <c r="H679" s="2">
        <v>46121</v>
      </c>
      <c r="I679" s="2">
        <v>46121</v>
      </c>
    </row>
    <row r="680" spans="1:9" x14ac:dyDescent="0.35">
      <c r="A680" t="s">
        <v>706</v>
      </c>
      <c r="B680" s="2">
        <v>46170</v>
      </c>
      <c r="C680" t="s">
        <v>34</v>
      </c>
      <c r="D680" t="s">
        <v>35</v>
      </c>
      <c r="E680" t="s">
        <v>55</v>
      </c>
      <c r="F680">
        <v>8</v>
      </c>
      <c r="G680" t="s">
        <v>13</v>
      </c>
      <c r="H680" s="2">
        <v>46171</v>
      </c>
      <c r="I680" s="2">
        <v>46171</v>
      </c>
    </row>
    <row r="681" spans="1:9" x14ac:dyDescent="0.35">
      <c r="A681" t="s">
        <v>707</v>
      </c>
      <c r="B681" s="2">
        <v>46172</v>
      </c>
      <c r="C681" t="s">
        <v>10</v>
      </c>
      <c r="D681" t="s">
        <v>11</v>
      </c>
      <c r="E681" t="s">
        <v>46</v>
      </c>
      <c r="F681">
        <v>22</v>
      </c>
      <c r="G681" t="s">
        <v>13</v>
      </c>
      <c r="H681" s="2">
        <v>46174</v>
      </c>
      <c r="I681" s="2">
        <v>46174</v>
      </c>
    </row>
    <row r="682" spans="1:9" x14ac:dyDescent="0.35">
      <c r="A682" t="s">
        <v>708</v>
      </c>
      <c r="B682" s="2">
        <v>46162</v>
      </c>
      <c r="C682" t="s">
        <v>34</v>
      </c>
      <c r="D682" t="s">
        <v>35</v>
      </c>
      <c r="E682" t="s">
        <v>55</v>
      </c>
      <c r="F682">
        <v>20</v>
      </c>
      <c r="G682" t="s">
        <v>13</v>
      </c>
      <c r="H682" s="2">
        <v>46164</v>
      </c>
      <c r="I682" s="2">
        <v>46163</v>
      </c>
    </row>
    <row r="683" spans="1:9" x14ac:dyDescent="0.35">
      <c r="A683" t="s">
        <v>709</v>
      </c>
      <c r="B683" s="2">
        <v>46140</v>
      </c>
      <c r="C683" t="s">
        <v>34</v>
      </c>
      <c r="D683" t="s">
        <v>35</v>
      </c>
      <c r="E683" t="s">
        <v>17</v>
      </c>
      <c r="F683">
        <v>20</v>
      </c>
      <c r="G683" t="s">
        <v>13</v>
      </c>
      <c r="H683" s="2">
        <v>46144</v>
      </c>
      <c r="I683" s="2">
        <v>46144</v>
      </c>
    </row>
    <row r="684" spans="1:9" x14ac:dyDescent="0.35">
      <c r="A684" t="s">
        <v>710</v>
      </c>
      <c r="B684" s="2">
        <v>46153</v>
      </c>
      <c r="C684" t="s">
        <v>19</v>
      </c>
      <c r="D684" t="s">
        <v>20</v>
      </c>
      <c r="E684" t="s">
        <v>55</v>
      </c>
      <c r="F684">
        <v>18</v>
      </c>
      <c r="G684" t="s">
        <v>13</v>
      </c>
      <c r="H684" s="2">
        <v>46157</v>
      </c>
      <c r="I684" s="2">
        <v>46157</v>
      </c>
    </row>
    <row r="685" spans="1:9" x14ac:dyDescent="0.35">
      <c r="A685" t="s">
        <v>711</v>
      </c>
      <c r="B685" s="2">
        <v>46176</v>
      </c>
      <c r="C685" t="s">
        <v>10</v>
      </c>
      <c r="D685" t="s">
        <v>11</v>
      </c>
      <c r="E685" t="s">
        <v>12</v>
      </c>
      <c r="F685">
        <v>14</v>
      </c>
      <c r="G685" t="s">
        <v>13</v>
      </c>
      <c r="H685" s="2">
        <v>46178</v>
      </c>
      <c r="I685" s="2">
        <v>46177</v>
      </c>
    </row>
    <row r="686" spans="1:9" x14ac:dyDescent="0.35">
      <c r="A686" t="s">
        <v>712</v>
      </c>
      <c r="B686" s="2">
        <v>46139</v>
      </c>
      <c r="C686" t="s">
        <v>34</v>
      </c>
      <c r="D686" t="s">
        <v>35</v>
      </c>
      <c r="E686" t="s">
        <v>24</v>
      </c>
      <c r="F686">
        <v>18</v>
      </c>
      <c r="G686" t="s">
        <v>13</v>
      </c>
      <c r="H686" s="2">
        <v>46143</v>
      </c>
      <c r="I686" s="2">
        <v>46142</v>
      </c>
    </row>
    <row r="687" spans="1:9" x14ac:dyDescent="0.35">
      <c r="A687" t="s">
        <v>713</v>
      </c>
      <c r="B687" s="2">
        <v>46175</v>
      </c>
      <c r="C687" t="s">
        <v>19</v>
      </c>
      <c r="D687" t="s">
        <v>20</v>
      </c>
      <c r="E687" t="s">
        <v>17</v>
      </c>
      <c r="F687">
        <v>28</v>
      </c>
      <c r="G687" t="s">
        <v>13</v>
      </c>
      <c r="H687" s="2">
        <v>46177</v>
      </c>
      <c r="I687" s="2">
        <v>46176</v>
      </c>
    </row>
    <row r="688" spans="1:9" x14ac:dyDescent="0.35">
      <c r="A688" t="s">
        <v>714</v>
      </c>
      <c r="B688" s="2">
        <v>46129</v>
      </c>
      <c r="C688" t="s">
        <v>10</v>
      </c>
      <c r="D688" t="s">
        <v>11</v>
      </c>
      <c r="E688" t="s">
        <v>17</v>
      </c>
      <c r="F688">
        <v>14</v>
      </c>
      <c r="G688" t="s">
        <v>26</v>
      </c>
      <c r="H688" s="2">
        <v>46130</v>
      </c>
    </row>
    <row r="689" spans="1:9" x14ac:dyDescent="0.35">
      <c r="A689" t="s">
        <v>715</v>
      </c>
      <c r="B689" s="2">
        <v>46185</v>
      </c>
      <c r="C689" t="s">
        <v>34</v>
      </c>
      <c r="D689" t="s">
        <v>35</v>
      </c>
      <c r="E689" t="s">
        <v>12</v>
      </c>
      <c r="F689">
        <v>20</v>
      </c>
      <c r="G689" t="s">
        <v>26</v>
      </c>
      <c r="H689" s="2">
        <v>46187</v>
      </c>
    </row>
    <row r="690" spans="1:9" x14ac:dyDescent="0.35">
      <c r="A690" t="s">
        <v>716</v>
      </c>
      <c r="B690" s="2">
        <v>46145</v>
      </c>
      <c r="C690" t="s">
        <v>15</v>
      </c>
      <c r="D690" t="s">
        <v>16</v>
      </c>
      <c r="E690" t="s">
        <v>32</v>
      </c>
      <c r="F690">
        <v>21</v>
      </c>
      <c r="G690" t="s">
        <v>13</v>
      </c>
      <c r="H690" s="2">
        <v>46147</v>
      </c>
      <c r="I690" s="2">
        <v>46146</v>
      </c>
    </row>
    <row r="691" spans="1:9" x14ac:dyDescent="0.35">
      <c r="A691" t="s">
        <v>717</v>
      </c>
      <c r="B691" s="2">
        <v>46196</v>
      </c>
      <c r="C691" t="s">
        <v>19</v>
      </c>
      <c r="D691" t="s">
        <v>20</v>
      </c>
      <c r="E691" t="s">
        <v>22</v>
      </c>
      <c r="F691">
        <v>24</v>
      </c>
      <c r="G691" t="s">
        <v>13</v>
      </c>
      <c r="H691" s="2">
        <v>46199</v>
      </c>
      <c r="I691" s="2">
        <v>46199</v>
      </c>
    </row>
    <row r="692" spans="1:9" x14ac:dyDescent="0.35">
      <c r="A692" t="s">
        <v>718</v>
      </c>
      <c r="B692" s="2">
        <v>46189</v>
      </c>
      <c r="C692" t="s">
        <v>15</v>
      </c>
      <c r="D692" t="s">
        <v>16</v>
      </c>
      <c r="E692" t="s">
        <v>46</v>
      </c>
      <c r="F692">
        <v>15</v>
      </c>
      <c r="G692" t="s">
        <v>13</v>
      </c>
      <c r="H692" s="2">
        <v>46191</v>
      </c>
      <c r="I692" s="2">
        <v>46190</v>
      </c>
    </row>
    <row r="693" spans="1:9" x14ac:dyDescent="0.35">
      <c r="A693" t="s">
        <v>719</v>
      </c>
      <c r="B693" s="2">
        <v>46141</v>
      </c>
      <c r="C693" t="s">
        <v>15</v>
      </c>
      <c r="D693" t="s">
        <v>16</v>
      </c>
      <c r="E693" t="s">
        <v>12</v>
      </c>
      <c r="F693">
        <v>22</v>
      </c>
      <c r="G693" t="s">
        <v>13</v>
      </c>
      <c r="H693" s="2">
        <v>46143</v>
      </c>
      <c r="I693" s="2">
        <v>46142</v>
      </c>
    </row>
    <row r="694" spans="1:9" x14ac:dyDescent="0.35">
      <c r="A694" t="s">
        <v>720</v>
      </c>
      <c r="B694" s="2">
        <v>46125</v>
      </c>
      <c r="C694" t="s">
        <v>15</v>
      </c>
      <c r="D694" t="s">
        <v>16</v>
      </c>
      <c r="E694" t="s">
        <v>22</v>
      </c>
      <c r="F694">
        <v>30</v>
      </c>
      <c r="G694" t="s">
        <v>13</v>
      </c>
      <c r="H694" s="2">
        <v>46128</v>
      </c>
      <c r="I694" s="2">
        <v>46128</v>
      </c>
    </row>
    <row r="695" spans="1:9" x14ac:dyDescent="0.35">
      <c r="A695" t="s">
        <v>721</v>
      </c>
      <c r="B695" s="2">
        <v>46158</v>
      </c>
      <c r="C695" t="s">
        <v>10</v>
      </c>
      <c r="D695" t="s">
        <v>11</v>
      </c>
      <c r="E695" t="s">
        <v>43</v>
      </c>
      <c r="F695">
        <v>4</v>
      </c>
      <c r="G695" t="s">
        <v>13</v>
      </c>
      <c r="H695" s="2">
        <v>46162</v>
      </c>
      <c r="I695" s="2">
        <v>46162</v>
      </c>
    </row>
    <row r="696" spans="1:9" x14ac:dyDescent="0.35">
      <c r="A696" t="s">
        <v>722</v>
      </c>
      <c r="B696" s="2">
        <v>46147</v>
      </c>
      <c r="C696" t="s">
        <v>15</v>
      </c>
      <c r="D696" t="s">
        <v>16</v>
      </c>
      <c r="E696" t="s">
        <v>22</v>
      </c>
      <c r="F696">
        <v>13</v>
      </c>
      <c r="G696" t="s">
        <v>13</v>
      </c>
      <c r="H696" s="2">
        <v>46150</v>
      </c>
      <c r="I696" s="2">
        <v>46150</v>
      </c>
    </row>
    <row r="697" spans="1:9" x14ac:dyDescent="0.35">
      <c r="A697" t="s">
        <v>723</v>
      </c>
      <c r="B697" s="2">
        <v>46118</v>
      </c>
      <c r="C697" t="s">
        <v>15</v>
      </c>
      <c r="D697" t="s">
        <v>16</v>
      </c>
      <c r="E697" t="s">
        <v>43</v>
      </c>
      <c r="F697">
        <v>27</v>
      </c>
      <c r="G697" t="s">
        <v>13</v>
      </c>
      <c r="H697" s="2">
        <v>46119</v>
      </c>
      <c r="I697" s="2">
        <v>46118</v>
      </c>
    </row>
    <row r="698" spans="1:9" x14ac:dyDescent="0.35">
      <c r="A698" t="s">
        <v>724</v>
      </c>
      <c r="B698" s="2">
        <v>46194</v>
      </c>
      <c r="C698" t="s">
        <v>15</v>
      </c>
      <c r="D698" t="s">
        <v>16</v>
      </c>
      <c r="E698" t="s">
        <v>12</v>
      </c>
      <c r="F698">
        <v>23</v>
      </c>
      <c r="G698" t="s">
        <v>13</v>
      </c>
      <c r="H698" s="2">
        <v>46197</v>
      </c>
      <c r="I698" s="2">
        <v>46197</v>
      </c>
    </row>
    <row r="699" spans="1:9" x14ac:dyDescent="0.35">
      <c r="A699" t="s">
        <v>725</v>
      </c>
      <c r="B699" s="2">
        <v>46181</v>
      </c>
      <c r="C699" t="s">
        <v>15</v>
      </c>
      <c r="D699" t="s">
        <v>16</v>
      </c>
      <c r="E699" t="s">
        <v>17</v>
      </c>
      <c r="F699">
        <v>8</v>
      </c>
      <c r="G699" t="s">
        <v>26</v>
      </c>
      <c r="H699" s="2">
        <v>46182</v>
      </c>
    </row>
    <row r="700" spans="1:9" x14ac:dyDescent="0.35">
      <c r="A700" t="s">
        <v>726</v>
      </c>
      <c r="B700" s="2">
        <v>46159</v>
      </c>
      <c r="C700" t="s">
        <v>10</v>
      </c>
      <c r="D700" t="s">
        <v>11</v>
      </c>
      <c r="E700" t="s">
        <v>17</v>
      </c>
      <c r="F700">
        <v>18</v>
      </c>
      <c r="G700" t="s">
        <v>62</v>
      </c>
      <c r="H700" s="2">
        <v>46163</v>
      </c>
      <c r="I700" s="2">
        <v>46165</v>
      </c>
    </row>
    <row r="701" spans="1:9" x14ac:dyDescent="0.35">
      <c r="A701" t="s">
        <v>727</v>
      </c>
      <c r="B701" s="2">
        <v>46137</v>
      </c>
      <c r="C701" t="s">
        <v>10</v>
      </c>
      <c r="D701" t="s">
        <v>11</v>
      </c>
      <c r="E701" t="s">
        <v>32</v>
      </c>
      <c r="F701">
        <v>12</v>
      </c>
      <c r="G701" t="s">
        <v>13</v>
      </c>
      <c r="H701" s="2">
        <v>46140</v>
      </c>
      <c r="I701" s="2">
        <v>46139</v>
      </c>
    </row>
    <row r="702" spans="1:9" x14ac:dyDescent="0.35">
      <c r="A702" t="s">
        <v>728</v>
      </c>
      <c r="B702" s="2">
        <v>46178</v>
      </c>
      <c r="C702" t="s">
        <v>34</v>
      </c>
      <c r="D702" t="s">
        <v>35</v>
      </c>
      <c r="E702" t="s">
        <v>12</v>
      </c>
      <c r="F702">
        <v>23</v>
      </c>
      <c r="G702" t="s">
        <v>13</v>
      </c>
      <c r="H702" s="2">
        <v>46181</v>
      </c>
      <c r="I702" s="2">
        <v>46180</v>
      </c>
    </row>
    <row r="703" spans="1:9" x14ac:dyDescent="0.35">
      <c r="A703" t="s">
        <v>729</v>
      </c>
      <c r="B703" s="2">
        <v>46122</v>
      </c>
      <c r="C703" t="s">
        <v>34</v>
      </c>
      <c r="D703" t="s">
        <v>35</v>
      </c>
      <c r="E703" t="s">
        <v>43</v>
      </c>
      <c r="F703">
        <v>14</v>
      </c>
      <c r="G703" t="s">
        <v>26</v>
      </c>
      <c r="H703" s="2">
        <v>46126</v>
      </c>
    </row>
    <row r="704" spans="1:9" x14ac:dyDescent="0.35">
      <c r="A704" t="s">
        <v>730</v>
      </c>
      <c r="B704" s="2">
        <v>46168</v>
      </c>
      <c r="C704" t="s">
        <v>10</v>
      </c>
      <c r="D704" t="s">
        <v>11</v>
      </c>
      <c r="E704" t="s">
        <v>22</v>
      </c>
      <c r="F704">
        <v>2</v>
      </c>
      <c r="G704" t="s">
        <v>62</v>
      </c>
      <c r="H704" s="2">
        <v>46169</v>
      </c>
      <c r="I704" s="2">
        <v>46170</v>
      </c>
    </row>
    <row r="705" spans="1:9" x14ac:dyDescent="0.35">
      <c r="A705" t="s">
        <v>731</v>
      </c>
      <c r="B705" s="2">
        <v>46142</v>
      </c>
      <c r="C705" t="s">
        <v>15</v>
      </c>
      <c r="D705" t="s">
        <v>16</v>
      </c>
      <c r="E705" t="s">
        <v>22</v>
      </c>
      <c r="F705">
        <v>18</v>
      </c>
      <c r="G705" t="s">
        <v>13</v>
      </c>
      <c r="H705" s="2">
        <v>46145</v>
      </c>
      <c r="I705" s="2">
        <v>46144</v>
      </c>
    </row>
    <row r="706" spans="1:9" x14ac:dyDescent="0.35">
      <c r="A706" t="s">
        <v>732</v>
      </c>
      <c r="B706" s="2">
        <v>46117</v>
      </c>
      <c r="C706" t="s">
        <v>34</v>
      </c>
      <c r="D706" t="s">
        <v>35</v>
      </c>
      <c r="E706" t="s">
        <v>43</v>
      </c>
      <c r="F706">
        <v>24</v>
      </c>
      <c r="G706" t="s">
        <v>13</v>
      </c>
      <c r="H706" s="2">
        <v>46118</v>
      </c>
      <c r="I706" s="2">
        <v>46118</v>
      </c>
    </row>
    <row r="707" spans="1:9" x14ac:dyDescent="0.35">
      <c r="A707" t="s">
        <v>733</v>
      </c>
      <c r="B707" s="2">
        <v>46145</v>
      </c>
      <c r="C707" t="s">
        <v>19</v>
      </c>
      <c r="D707" t="s">
        <v>20</v>
      </c>
      <c r="E707" t="s">
        <v>55</v>
      </c>
      <c r="F707">
        <v>2</v>
      </c>
      <c r="G707" t="s">
        <v>13</v>
      </c>
      <c r="H707" s="2">
        <v>46148</v>
      </c>
      <c r="I707" s="2">
        <v>46148</v>
      </c>
    </row>
    <row r="708" spans="1:9" x14ac:dyDescent="0.35">
      <c r="A708" t="s">
        <v>734</v>
      </c>
      <c r="B708" s="2">
        <v>46177</v>
      </c>
      <c r="C708" t="s">
        <v>10</v>
      </c>
      <c r="D708" t="s">
        <v>11</v>
      </c>
      <c r="E708" t="s">
        <v>32</v>
      </c>
      <c r="F708">
        <v>11</v>
      </c>
      <c r="G708" t="s">
        <v>13</v>
      </c>
      <c r="H708" s="2">
        <v>46179</v>
      </c>
      <c r="I708" s="2">
        <v>46179</v>
      </c>
    </row>
    <row r="709" spans="1:9" x14ac:dyDescent="0.35">
      <c r="A709" t="s">
        <v>735</v>
      </c>
      <c r="B709" s="2">
        <v>46130</v>
      </c>
      <c r="C709" t="s">
        <v>15</v>
      </c>
      <c r="D709" t="s">
        <v>16</v>
      </c>
      <c r="E709" t="s">
        <v>24</v>
      </c>
      <c r="F709">
        <v>9</v>
      </c>
      <c r="G709" t="s">
        <v>13</v>
      </c>
      <c r="H709" s="2">
        <v>46133</v>
      </c>
      <c r="I709" s="2">
        <v>46132</v>
      </c>
    </row>
    <row r="710" spans="1:9" x14ac:dyDescent="0.35">
      <c r="A710" t="s">
        <v>736</v>
      </c>
      <c r="B710" s="2">
        <v>46161</v>
      </c>
      <c r="C710" t="s">
        <v>34</v>
      </c>
      <c r="D710" t="s">
        <v>35</v>
      </c>
      <c r="E710" t="s">
        <v>17</v>
      </c>
      <c r="F710">
        <v>12</v>
      </c>
      <c r="G710" t="s">
        <v>13</v>
      </c>
      <c r="H710" s="2">
        <v>46165</v>
      </c>
      <c r="I710" s="2">
        <v>46164</v>
      </c>
    </row>
    <row r="711" spans="1:9" x14ac:dyDescent="0.35">
      <c r="A711" t="s">
        <v>737</v>
      </c>
      <c r="B711" s="2">
        <v>46123</v>
      </c>
      <c r="C711" t="s">
        <v>34</v>
      </c>
      <c r="D711" t="s">
        <v>35</v>
      </c>
      <c r="E711" t="s">
        <v>46</v>
      </c>
      <c r="F711">
        <v>17</v>
      </c>
      <c r="G711" t="s">
        <v>13</v>
      </c>
      <c r="H711" s="2">
        <v>46127</v>
      </c>
      <c r="I711" s="2">
        <v>46126</v>
      </c>
    </row>
    <row r="712" spans="1:9" x14ac:dyDescent="0.35">
      <c r="A712" t="s">
        <v>738</v>
      </c>
      <c r="B712" s="2">
        <v>46197</v>
      </c>
      <c r="C712" t="s">
        <v>34</v>
      </c>
      <c r="D712" t="s">
        <v>35</v>
      </c>
      <c r="E712" t="s">
        <v>22</v>
      </c>
      <c r="F712">
        <v>15</v>
      </c>
      <c r="G712" t="s">
        <v>13</v>
      </c>
      <c r="H712" s="2">
        <v>46198</v>
      </c>
      <c r="I712" s="2">
        <v>46198</v>
      </c>
    </row>
    <row r="713" spans="1:9" x14ac:dyDescent="0.35">
      <c r="A713" t="s">
        <v>739</v>
      </c>
      <c r="B713" s="2">
        <v>46138</v>
      </c>
      <c r="C713" t="s">
        <v>15</v>
      </c>
      <c r="D713" t="s">
        <v>16</v>
      </c>
      <c r="E713" t="s">
        <v>46</v>
      </c>
      <c r="F713">
        <v>25</v>
      </c>
      <c r="G713" t="s">
        <v>26</v>
      </c>
      <c r="H713" s="2">
        <v>46141</v>
      </c>
    </row>
    <row r="714" spans="1:9" x14ac:dyDescent="0.35">
      <c r="A714" t="s">
        <v>740</v>
      </c>
      <c r="B714" s="2">
        <v>46175</v>
      </c>
      <c r="C714" t="s">
        <v>15</v>
      </c>
      <c r="D714" t="s">
        <v>16</v>
      </c>
      <c r="E714" t="s">
        <v>24</v>
      </c>
      <c r="F714">
        <v>17</v>
      </c>
      <c r="G714" t="s">
        <v>13</v>
      </c>
      <c r="H714" s="2">
        <v>46176</v>
      </c>
      <c r="I714" s="2">
        <v>46175</v>
      </c>
    </row>
    <row r="715" spans="1:9" x14ac:dyDescent="0.35">
      <c r="A715" t="s">
        <v>741</v>
      </c>
      <c r="B715" s="2">
        <v>46201</v>
      </c>
      <c r="C715" t="s">
        <v>15</v>
      </c>
      <c r="D715" t="s">
        <v>16</v>
      </c>
      <c r="E715" t="s">
        <v>12</v>
      </c>
      <c r="F715">
        <v>26</v>
      </c>
      <c r="G715" t="s">
        <v>13</v>
      </c>
      <c r="H715" s="2">
        <v>46202</v>
      </c>
      <c r="I715" s="2">
        <v>46201</v>
      </c>
    </row>
    <row r="716" spans="1:9" x14ac:dyDescent="0.35">
      <c r="A716" t="s">
        <v>742</v>
      </c>
      <c r="B716" s="2">
        <v>46198</v>
      </c>
      <c r="C716" t="s">
        <v>19</v>
      </c>
      <c r="D716" t="s">
        <v>20</v>
      </c>
      <c r="E716" t="s">
        <v>46</v>
      </c>
      <c r="F716">
        <v>29</v>
      </c>
      <c r="G716" t="s">
        <v>13</v>
      </c>
      <c r="H716" s="2">
        <v>46200</v>
      </c>
      <c r="I716" s="2">
        <v>46199</v>
      </c>
    </row>
    <row r="717" spans="1:9" x14ac:dyDescent="0.35">
      <c r="A717" t="s">
        <v>743</v>
      </c>
      <c r="B717" s="2">
        <v>46171</v>
      </c>
      <c r="C717" t="s">
        <v>10</v>
      </c>
      <c r="D717" t="s">
        <v>11</v>
      </c>
      <c r="E717" t="s">
        <v>24</v>
      </c>
      <c r="F717">
        <v>26</v>
      </c>
      <c r="G717" t="s">
        <v>13</v>
      </c>
      <c r="H717" s="2">
        <v>46173</v>
      </c>
      <c r="I717" s="2">
        <v>46172</v>
      </c>
    </row>
    <row r="718" spans="1:9" x14ac:dyDescent="0.35">
      <c r="A718" t="s">
        <v>744</v>
      </c>
      <c r="B718" s="2">
        <v>46139</v>
      </c>
      <c r="C718" t="s">
        <v>15</v>
      </c>
      <c r="D718" t="s">
        <v>16</v>
      </c>
      <c r="E718" t="s">
        <v>17</v>
      </c>
      <c r="F718">
        <v>18</v>
      </c>
      <c r="G718" t="s">
        <v>62</v>
      </c>
      <c r="H718" s="2">
        <v>46143</v>
      </c>
      <c r="I718" s="2">
        <v>46147</v>
      </c>
    </row>
    <row r="719" spans="1:9" x14ac:dyDescent="0.35">
      <c r="A719" t="s">
        <v>745</v>
      </c>
      <c r="B719" s="2">
        <v>46161</v>
      </c>
      <c r="C719" t="s">
        <v>15</v>
      </c>
      <c r="D719" t="s">
        <v>16</v>
      </c>
      <c r="E719" t="s">
        <v>43</v>
      </c>
      <c r="F719">
        <v>22</v>
      </c>
      <c r="G719" t="s">
        <v>13</v>
      </c>
      <c r="H719" s="2">
        <v>46162</v>
      </c>
      <c r="I719" s="2">
        <v>46162</v>
      </c>
    </row>
    <row r="720" spans="1:9" x14ac:dyDescent="0.35">
      <c r="A720" t="s">
        <v>746</v>
      </c>
      <c r="B720" s="2">
        <v>46189</v>
      </c>
      <c r="C720" t="s">
        <v>10</v>
      </c>
      <c r="D720" t="s">
        <v>11</v>
      </c>
      <c r="E720" t="s">
        <v>55</v>
      </c>
      <c r="F720">
        <v>6</v>
      </c>
      <c r="G720" t="s">
        <v>13</v>
      </c>
      <c r="H720" s="2">
        <v>46193</v>
      </c>
      <c r="I720" s="2">
        <v>46193</v>
      </c>
    </row>
    <row r="721" spans="1:9" x14ac:dyDescent="0.35">
      <c r="A721" t="s">
        <v>747</v>
      </c>
      <c r="B721" s="2">
        <v>46145</v>
      </c>
      <c r="C721" t="s">
        <v>15</v>
      </c>
      <c r="D721" t="s">
        <v>16</v>
      </c>
      <c r="E721" t="s">
        <v>17</v>
      </c>
      <c r="F721">
        <v>17</v>
      </c>
      <c r="G721" t="s">
        <v>13</v>
      </c>
      <c r="H721" s="2">
        <v>46148</v>
      </c>
      <c r="I721" s="2">
        <v>46148</v>
      </c>
    </row>
    <row r="722" spans="1:9" x14ac:dyDescent="0.35">
      <c r="A722" t="s">
        <v>748</v>
      </c>
      <c r="B722" s="2">
        <v>46113</v>
      </c>
      <c r="C722" t="s">
        <v>15</v>
      </c>
      <c r="D722" t="s">
        <v>16</v>
      </c>
      <c r="E722" t="s">
        <v>22</v>
      </c>
      <c r="F722">
        <v>23</v>
      </c>
      <c r="G722" t="s">
        <v>13</v>
      </c>
      <c r="H722" s="2">
        <v>46114</v>
      </c>
      <c r="I722" s="2">
        <v>46114</v>
      </c>
    </row>
    <row r="723" spans="1:9" x14ac:dyDescent="0.35">
      <c r="A723" t="s">
        <v>749</v>
      </c>
      <c r="B723" s="2">
        <v>46133</v>
      </c>
      <c r="C723" t="s">
        <v>19</v>
      </c>
      <c r="D723" t="s">
        <v>20</v>
      </c>
      <c r="E723" t="s">
        <v>24</v>
      </c>
      <c r="F723">
        <v>24</v>
      </c>
      <c r="G723" t="s">
        <v>62</v>
      </c>
      <c r="H723" s="2">
        <v>46134</v>
      </c>
      <c r="I723" s="2">
        <v>46138</v>
      </c>
    </row>
    <row r="724" spans="1:9" x14ac:dyDescent="0.35">
      <c r="A724" t="s">
        <v>750</v>
      </c>
      <c r="B724" s="2">
        <v>46167</v>
      </c>
      <c r="C724" t="s">
        <v>15</v>
      </c>
      <c r="D724" t="s">
        <v>16</v>
      </c>
      <c r="E724" t="s">
        <v>46</v>
      </c>
      <c r="F724">
        <v>18</v>
      </c>
      <c r="G724" t="s">
        <v>13</v>
      </c>
      <c r="H724" s="2">
        <v>46170</v>
      </c>
      <c r="I724" s="2">
        <v>46170</v>
      </c>
    </row>
    <row r="725" spans="1:9" x14ac:dyDescent="0.35">
      <c r="A725" t="s">
        <v>751</v>
      </c>
      <c r="B725" s="2">
        <v>46118</v>
      </c>
      <c r="C725" t="s">
        <v>10</v>
      </c>
      <c r="D725" t="s">
        <v>11</v>
      </c>
      <c r="E725" t="s">
        <v>22</v>
      </c>
      <c r="F725">
        <v>8</v>
      </c>
      <c r="G725" t="s">
        <v>13</v>
      </c>
      <c r="H725" s="2">
        <v>46121</v>
      </c>
      <c r="I725" s="2">
        <v>46120</v>
      </c>
    </row>
    <row r="726" spans="1:9" x14ac:dyDescent="0.35">
      <c r="A726" t="s">
        <v>752</v>
      </c>
      <c r="B726" s="2">
        <v>46193</v>
      </c>
      <c r="C726" t="s">
        <v>19</v>
      </c>
      <c r="D726" t="s">
        <v>20</v>
      </c>
      <c r="E726" t="s">
        <v>55</v>
      </c>
      <c r="F726">
        <v>9</v>
      </c>
      <c r="G726" t="s">
        <v>13</v>
      </c>
      <c r="H726" s="2">
        <v>46197</v>
      </c>
      <c r="I726" s="2">
        <v>46197</v>
      </c>
    </row>
    <row r="727" spans="1:9" x14ac:dyDescent="0.35">
      <c r="A727" t="s">
        <v>753</v>
      </c>
      <c r="B727" s="2">
        <v>46181</v>
      </c>
      <c r="C727" t="s">
        <v>34</v>
      </c>
      <c r="D727" t="s">
        <v>35</v>
      </c>
      <c r="E727" t="s">
        <v>43</v>
      </c>
      <c r="F727">
        <v>6</v>
      </c>
      <c r="G727" t="s">
        <v>13</v>
      </c>
      <c r="H727" s="2">
        <v>46185</v>
      </c>
      <c r="I727" s="2">
        <v>46185</v>
      </c>
    </row>
    <row r="728" spans="1:9" x14ac:dyDescent="0.35">
      <c r="A728" t="s">
        <v>754</v>
      </c>
      <c r="B728" s="2">
        <v>46117</v>
      </c>
      <c r="C728" t="s">
        <v>15</v>
      </c>
      <c r="D728" t="s">
        <v>16</v>
      </c>
      <c r="E728" t="s">
        <v>12</v>
      </c>
      <c r="F728">
        <v>5</v>
      </c>
      <c r="G728" t="s">
        <v>26</v>
      </c>
      <c r="H728" s="2">
        <v>46120</v>
      </c>
    </row>
    <row r="729" spans="1:9" x14ac:dyDescent="0.35">
      <c r="A729" t="s">
        <v>755</v>
      </c>
      <c r="B729" s="2">
        <v>46115</v>
      </c>
      <c r="C729" t="s">
        <v>15</v>
      </c>
      <c r="D729" t="s">
        <v>16</v>
      </c>
      <c r="E729" t="s">
        <v>22</v>
      </c>
      <c r="F729">
        <v>12</v>
      </c>
      <c r="G729" t="s">
        <v>26</v>
      </c>
      <c r="H729" s="2">
        <v>46119</v>
      </c>
    </row>
    <row r="730" spans="1:9" x14ac:dyDescent="0.35">
      <c r="A730" t="s">
        <v>756</v>
      </c>
      <c r="B730" s="2">
        <v>46165</v>
      </c>
      <c r="C730" t="s">
        <v>19</v>
      </c>
      <c r="D730" t="s">
        <v>20</v>
      </c>
      <c r="E730" t="s">
        <v>12</v>
      </c>
      <c r="F730">
        <v>25</v>
      </c>
      <c r="G730" t="s">
        <v>13</v>
      </c>
      <c r="H730" s="2">
        <v>46168</v>
      </c>
      <c r="I730" s="2">
        <v>46168</v>
      </c>
    </row>
    <row r="731" spans="1:9" x14ac:dyDescent="0.35">
      <c r="A731" t="s">
        <v>757</v>
      </c>
      <c r="B731" s="2">
        <v>46135</v>
      </c>
      <c r="C731" t="s">
        <v>19</v>
      </c>
      <c r="D731" t="s">
        <v>20</v>
      </c>
      <c r="E731" t="s">
        <v>24</v>
      </c>
      <c r="F731">
        <v>29</v>
      </c>
      <c r="G731" t="s">
        <v>13</v>
      </c>
      <c r="H731" s="2">
        <v>46136</v>
      </c>
      <c r="I731" s="2">
        <v>46135</v>
      </c>
    </row>
    <row r="732" spans="1:9" x14ac:dyDescent="0.35">
      <c r="A732" t="s">
        <v>758</v>
      </c>
      <c r="B732" s="2">
        <v>46165</v>
      </c>
      <c r="C732" t="s">
        <v>19</v>
      </c>
      <c r="D732" t="s">
        <v>20</v>
      </c>
      <c r="E732" t="s">
        <v>55</v>
      </c>
      <c r="F732">
        <v>28</v>
      </c>
      <c r="G732" t="s">
        <v>26</v>
      </c>
      <c r="H732" s="2">
        <v>46166</v>
      </c>
    </row>
    <row r="733" spans="1:9" x14ac:dyDescent="0.35">
      <c r="A733" t="s">
        <v>759</v>
      </c>
      <c r="B733" s="2">
        <v>46149</v>
      </c>
      <c r="C733" t="s">
        <v>15</v>
      </c>
      <c r="D733" t="s">
        <v>16</v>
      </c>
      <c r="E733" t="s">
        <v>46</v>
      </c>
      <c r="F733">
        <v>11</v>
      </c>
      <c r="G733" t="s">
        <v>62</v>
      </c>
      <c r="H733" s="2">
        <v>46151</v>
      </c>
      <c r="I733" s="2">
        <v>46155</v>
      </c>
    </row>
    <row r="734" spans="1:9" x14ac:dyDescent="0.35">
      <c r="A734" t="s">
        <v>760</v>
      </c>
      <c r="B734" s="2">
        <v>46186</v>
      </c>
      <c r="C734" t="s">
        <v>19</v>
      </c>
      <c r="D734" t="s">
        <v>20</v>
      </c>
      <c r="E734" t="s">
        <v>55</v>
      </c>
      <c r="F734">
        <v>25</v>
      </c>
      <c r="G734" t="s">
        <v>13</v>
      </c>
      <c r="H734" s="2">
        <v>46187</v>
      </c>
      <c r="I734" s="2">
        <v>46187</v>
      </c>
    </row>
    <row r="735" spans="1:9" x14ac:dyDescent="0.35">
      <c r="A735" t="s">
        <v>761</v>
      </c>
      <c r="B735" s="2">
        <v>46186</v>
      </c>
      <c r="C735" t="s">
        <v>19</v>
      </c>
      <c r="D735" t="s">
        <v>20</v>
      </c>
      <c r="E735" t="s">
        <v>55</v>
      </c>
      <c r="F735">
        <v>1</v>
      </c>
      <c r="G735" t="s">
        <v>13</v>
      </c>
      <c r="H735" s="2">
        <v>46189</v>
      </c>
      <c r="I735" s="2">
        <v>46188</v>
      </c>
    </row>
    <row r="736" spans="1:9" x14ac:dyDescent="0.35">
      <c r="A736" t="s">
        <v>762</v>
      </c>
      <c r="B736" s="2">
        <v>46195</v>
      </c>
      <c r="C736" t="s">
        <v>10</v>
      </c>
      <c r="D736" t="s">
        <v>11</v>
      </c>
      <c r="E736" t="s">
        <v>32</v>
      </c>
      <c r="F736">
        <v>11</v>
      </c>
      <c r="G736" t="s">
        <v>13</v>
      </c>
      <c r="H736" s="2">
        <v>46199</v>
      </c>
      <c r="I736" s="2">
        <v>46199</v>
      </c>
    </row>
    <row r="737" spans="1:9" x14ac:dyDescent="0.35">
      <c r="A737" t="s">
        <v>763</v>
      </c>
      <c r="B737" s="2">
        <v>46129</v>
      </c>
      <c r="C737" t="s">
        <v>19</v>
      </c>
      <c r="D737" t="s">
        <v>20</v>
      </c>
      <c r="E737" t="s">
        <v>55</v>
      </c>
      <c r="F737">
        <v>19</v>
      </c>
      <c r="G737" t="s">
        <v>26</v>
      </c>
      <c r="H737" s="2">
        <v>46131</v>
      </c>
    </row>
    <row r="738" spans="1:9" x14ac:dyDescent="0.35">
      <c r="A738" t="s">
        <v>764</v>
      </c>
      <c r="B738" s="2">
        <v>46197</v>
      </c>
      <c r="C738" t="s">
        <v>19</v>
      </c>
      <c r="D738" t="s">
        <v>20</v>
      </c>
      <c r="E738" t="s">
        <v>55</v>
      </c>
      <c r="F738">
        <v>9</v>
      </c>
      <c r="G738" t="s">
        <v>13</v>
      </c>
      <c r="H738" s="2">
        <v>46201</v>
      </c>
      <c r="I738" s="2">
        <v>46201</v>
      </c>
    </row>
    <row r="739" spans="1:9" x14ac:dyDescent="0.35">
      <c r="A739" t="s">
        <v>765</v>
      </c>
      <c r="B739" s="2">
        <v>46190</v>
      </c>
      <c r="C739" t="s">
        <v>10</v>
      </c>
      <c r="D739" t="s">
        <v>11</v>
      </c>
      <c r="E739" t="s">
        <v>17</v>
      </c>
      <c r="F739">
        <v>27</v>
      </c>
      <c r="G739" t="s">
        <v>13</v>
      </c>
      <c r="H739" s="2">
        <v>46193</v>
      </c>
      <c r="I739" s="2">
        <v>46193</v>
      </c>
    </row>
    <row r="740" spans="1:9" x14ac:dyDescent="0.35">
      <c r="A740" t="s">
        <v>766</v>
      </c>
      <c r="B740" s="2">
        <v>46185</v>
      </c>
      <c r="C740" t="s">
        <v>10</v>
      </c>
      <c r="D740" t="s">
        <v>11</v>
      </c>
      <c r="E740" t="s">
        <v>22</v>
      </c>
      <c r="F740">
        <v>2</v>
      </c>
      <c r="G740" t="s">
        <v>26</v>
      </c>
      <c r="H740" s="2">
        <v>46186</v>
      </c>
    </row>
    <row r="741" spans="1:9" x14ac:dyDescent="0.35">
      <c r="A741" t="s">
        <v>767</v>
      </c>
      <c r="B741" s="2">
        <v>46113</v>
      </c>
      <c r="C741" t="s">
        <v>34</v>
      </c>
      <c r="D741" t="s">
        <v>35</v>
      </c>
      <c r="E741" t="s">
        <v>46</v>
      </c>
      <c r="F741">
        <v>12</v>
      </c>
      <c r="G741" t="s">
        <v>13</v>
      </c>
      <c r="H741" s="2">
        <v>46115</v>
      </c>
      <c r="I741" s="2">
        <v>46114</v>
      </c>
    </row>
    <row r="742" spans="1:9" x14ac:dyDescent="0.35">
      <c r="A742" t="s">
        <v>768</v>
      </c>
      <c r="B742" s="2">
        <v>46163</v>
      </c>
      <c r="C742" t="s">
        <v>15</v>
      </c>
      <c r="D742" t="s">
        <v>16</v>
      </c>
      <c r="E742" t="s">
        <v>17</v>
      </c>
      <c r="F742">
        <v>4</v>
      </c>
      <c r="G742" t="s">
        <v>13</v>
      </c>
      <c r="H742" s="2">
        <v>46166</v>
      </c>
      <c r="I742" s="2">
        <v>46166</v>
      </c>
    </row>
    <row r="743" spans="1:9" x14ac:dyDescent="0.35">
      <c r="A743" t="s">
        <v>769</v>
      </c>
      <c r="B743" s="2">
        <v>46157</v>
      </c>
      <c r="C743" t="s">
        <v>10</v>
      </c>
      <c r="D743" t="s">
        <v>11</v>
      </c>
      <c r="E743" t="s">
        <v>17</v>
      </c>
      <c r="F743">
        <v>4</v>
      </c>
      <c r="G743" t="s">
        <v>13</v>
      </c>
      <c r="H743" s="2">
        <v>46159</v>
      </c>
      <c r="I743" s="2">
        <v>46159</v>
      </c>
    </row>
    <row r="744" spans="1:9" x14ac:dyDescent="0.35">
      <c r="A744" t="s">
        <v>770</v>
      </c>
      <c r="B744" s="2">
        <v>46189</v>
      </c>
      <c r="C744" t="s">
        <v>34</v>
      </c>
      <c r="D744" t="s">
        <v>35</v>
      </c>
      <c r="E744" t="s">
        <v>22</v>
      </c>
      <c r="F744">
        <v>18</v>
      </c>
      <c r="G744" t="s">
        <v>13</v>
      </c>
      <c r="H744" s="2">
        <v>46191</v>
      </c>
      <c r="I744" s="2">
        <v>46191</v>
      </c>
    </row>
    <row r="745" spans="1:9" x14ac:dyDescent="0.35">
      <c r="A745" t="s">
        <v>771</v>
      </c>
      <c r="B745" s="2">
        <v>46116</v>
      </c>
      <c r="C745" t="s">
        <v>19</v>
      </c>
      <c r="D745" t="s">
        <v>20</v>
      </c>
      <c r="E745" t="s">
        <v>22</v>
      </c>
      <c r="F745">
        <v>15</v>
      </c>
      <c r="G745" t="s">
        <v>13</v>
      </c>
      <c r="H745" s="2">
        <v>46117</v>
      </c>
      <c r="I745" s="2">
        <v>46116</v>
      </c>
    </row>
    <row r="746" spans="1:9" x14ac:dyDescent="0.35">
      <c r="A746" t="s">
        <v>772</v>
      </c>
      <c r="B746" s="2">
        <v>46174</v>
      </c>
      <c r="C746" t="s">
        <v>19</v>
      </c>
      <c r="D746" t="s">
        <v>20</v>
      </c>
      <c r="E746" t="s">
        <v>24</v>
      </c>
      <c r="F746">
        <v>19</v>
      </c>
      <c r="G746" t="s">
        <v>13</v>
      </c>
      <c r="H746" s="2">
        <v>46177</v>
      </c>
      <c r="I746" s="2">
        <v>46177</v>
      </c>
    </row>
    <row r="747" spans="1:9" x14ac:dyDescent="0.35">
      <c r="A747" t="s">
        <v>773</v>
      </c>
      <c r="B747" s="2">
        <v>46177</v>
      </c>
      <c r="C747" t="s">
        <v>10</v>
      </c>
      <c r="D747" t="s">
        <v>11</v>
      </c>
      <c r="E747" t="s">
        <v>22</v>
      </c>
      <c r="F747">
        <v>13</v>
      </c>
      <c r="G747" t="s">
        <v>13</v>
      </c>
      <c r="H747" s="2">
        <v>46181</v>
      </c>
      <c r="I747" s="2">
        <v>46180</v>
      </c>
    </row>
    <row r="748" spans="1:9" x14ac:dyDescent="0.35">
      <c r="A748" t="s">
        <v>774</v>
      </c>
      <c r="B748" s="2">
        <v>46144</v>
      </c>
      <c r="C748" t="s">
        <v>15</v>
      </c>
      <c r="D748" t="s">
        <v>16</v>
      </c>
      <c r="E748" t="s">
        <v>32</v>
      </c>
      <c r="F748">
        <v>19</v>
      </c>
      <c r="G748" t="s">
        <v>13</v>
      </c>
      <c r="H748" s="2">
        <v>46146</v>
      </c>
      <c r="I748" s="2">
        <v>46146</v>
      </c>
    </row>
    <row r="749" spans="1:9" x14ac:dyDescent="0.35">
      <c r="A749" t="s">
        <v>775</v>
      </c>
      <c r="B749" s="2">
        <v>46146</v>
      </c>
      <c r="C749" t="s">
        <v>15</v>
      </c>
      <c r="D749" t="s">
        <v>16</v>
      </c>
      <c r="E749" t="s">
        <v>32</v>
      </c>
      <c r="F749">
        <v>17</v>
      </c>
      <c r="G749" t="s">
        <v>26</v>
      </c>
      <c r="H749" s="2">
        <v>46148</v>
      </c>
    </row>
    <row r="750" spans="1:9" x14ac:dyDescent="0.35">
      <c r="A750" t="s">
        <v>776</v>
      </c>
      <c r="B750" s="2">
        <v>46184</v>
      </c>
      <c r="C750" t="s">
        <v>15</v>
      </c>
      <c r="D750" t="s">
        <v>16</v>
      </c>
      <c r="E750" t="s">
        <v>17</v>
      </c>
      <c r="F750">
        <v>6</v>
      </c>
      <c r="G750" t="s">
        <v>26</v>
      </c>
      <c r="H750" s="2">
        <v>46188</v>
      </c>
    </row>
    <row r="751" spans="1:9" x14ac:dyDescent="0.35">
      <c r="A751" t="s">
        <v>777</v>
      </c>
      <c r="B751" s="2">
        <v>46151</v>
      </c>
      <c r="C751" t="s">
        <v>10</v>
      </c>
      <c r="D751" t="s">
        <v>11</v>
      </c>
      <c r="E751" t="s">
        <v>12</v>
      </c>
      <c r="F751">
        <v>16</v>
      </c>
      <c r="G751" t="s">
        <v>13</v>
      </c>
      <c r="H751" s="2">
        <v>46154</v>
      </c>
      <c r="I751" s="2">
        <v>46153</v>
      </c>
    </row>
    <row r="752" spans="1:9" x14ac:dyDescent="0.35">
      <c r="A752" t="s">
        <v>778</v>
      </c>
      <c r="B752" s="2">
        <v>46138</v>
      </c>
      <c r="C752" t="s">
        <v>19</v>
      </c>
      <c r="D752" t="s">
        <v>20</v>
      </c>
      <c r="E752" t="s">
        <v>24</v>
      </c>
      <c r="F752">
        <v>24</v>
      </c>
      <c r="G752" t="s">
        <v>13</v>
      </c>
      <c r="H752" s="2">
        <v>46140</v>
      </c>
      <c r="I752" s="2">
        <v>46140</v>
      </c>
    </row>
    <row r="753" spans="1:9" x14ac:dyDescent="0.35">
      <c r="A753" t="s">
        <v>779</v>
      </c>
      <c r="B753" s="2">
        <v>46146</v>
      </c>
      <c r="C753" t="s">
        <v>19</v>
      </c>
      <c r="D753" t="s">
        <v>20</v>
      </c>
      <c r="E753" t="s">
        <v>12</v>
      </c>
      <c r="F753">
        <v>12</v>
      </c>
      <c r="G753" t="s">
        <v>13</v>
      </c>
      <c r="H753" s="2">
        <v>46148</v>
      </c>
      <c r="I753" s="2">
        <v>46148</v>
      </c>
    </row>
    <row r="754" spans="1:9" x14ac:dyDescent="0.35">
      <c r="A754" t="s">
        <v>780</v>
      </c>
      <c r="B754" s="2">
        <v>46166</v>
      </c>
      <c r="C754" t="s">
        <v>34</v>
      </c>
      <c r="D754" t="s">
        <v>35</v>
      </c>
      <c r="E754" t="s">
        <v>12</v>
      </c>
      <c r="F754">
        <v>19</v>
      </c>
      <c r="G754" t="s">
        <v>13</v>
      </c>
      <c r="H754" s="2">
        <v>46168</v>
      </c>
      <c r="I754" s="2">
        <v>46167</v>
      </c>
    </row>
    <row r="755" spans="1:9" x14ac:dyDescent="0.35">
      <c r="A755" t="s">
        <v>781</v>
      </c>
      <c r="B755" s="2">
        <v>46115</v>
      </c>
      <c r="C755" t="s">
        <v>19</v>
      </c>
      <c r="D755" t="s">
        <v>20</v>
      </c>
      <c r="E755" t="s">
        <v>17</v>
      </c>
      <c r="F755">
        <v>5</v>
      </c>
      <c r="G755" t="s">
        <v>13</v>
      </c>
      <c r="H755" s="2">
        <v>46118</v>
      </c>
      <c r="I755" s="2">
        <v>46117</v>
      </c>
    </row>
    <row r="756" spans="1:9" x14ac:dyDescent="0.35">
      <c r="A756" t="s">
        <v>782</v>
      </c>
      <c r="B756" s="2">
        <v>46162</v>
      </c>
      <c r="C756" t="s">
        <v>19</v>
      </c>
      <c r="D756" t="s">
        <v>20</v>
      </c>
      <c r="E756" t="s">
        <v>43</v>
      </c>
      <c r="F756">
        <v>17</v>
      </c>
      <c r="G756" t="s">
        <v>13</v>
      </c>
      <c r="H756" s="2">
        <v>46165</v>
      </c>
      <c r="I756" s="2">
        <v>46165</v>
      </c>
    </row>
    <row r="757" spans="1:9" x14ac:dyDescent="0.35">
      <c r="A757" t="s">
        <v>783</v>
      </c>
      <c r="B757" s="2">
        <v>46124</v>
      </c>
      <c r="C757" t="s">
        <v>34</v>
      </c>
      <c r="D757" t="s">
        <v>35</v>
      </c>
      <c r="E757" t="s">
        <v>17</v>
      </c>
      <c r="F757">
        <v>26</v>
      </c>
      <c r="G757" t="s">
        <v>13</v>
      </c>
      <c r="H757" s="2">
        <v>46128</v>
      </c>
      <c r="I757" s="2">
        <v>46127</v>
      </c>
    </row>
    <row r="758" spans="1:9" x14ac:dyDescent="0.35">
      <c r="A758" t="s">
        <v>784</v>
      </c>
      <c r="B758" s="2">
        <v>46177</v>
      </c>
      <c r="C758" t="s">
        <v>19</v>
      </c>
      <c r="D758" t="s">
        <v>20</v>
      </c>
      <c r="E758" t="s">
        <v>46</v>
      </c>
      <c r="F758">
        <v>23</v>
      </c>
      <c r="G758" t="s">
        <v>13</v>
      </c>
      <c r="H758" s="2">
        <v>46180</v>
      </c>
      <c r="I758" s="2">
        <v>46180</v>
      </c>
    </row>
    <row r="759" spans="1:9" x14ac:dyDescent="0.35">
      <c r="A759" t="s">
        <v>785</v>
      </c>
      <c r="B759" s="2">
        <v>46166</v>
      </c>
      <c r="C759" t="s">
        <v>34</v>
      </c>
      <c r="D759" t="s">
        <v>35</v>
      </c>
      <c r="E759" t="s">
        <v>46</v>
      </c>
      <c r="F759">
        <v>26</v>
      </c>
      <c r="G759" t="s">
        <v>13</v>
      </c>
      <c r="H759" s="2">
        <v>46169</v>
      </c>
      <c r="I759" s="2">
        <v>46169</v>
      </c>
    </row>
    <row r="760" spans="1:9" x14ac:dyDescent="0.35">
      <c r="A760" t="s">
        <v>786</v>
      </c>
      <c r="B760" s="2">
        <v>46117</v>
      </c>
      <c r="C760" t="s">
        <v>15</v>
      </c>
      <c r="D760" t="s">
        <v>16</v>
      </c>
      <c r="E760" t="s">
        <v>22</v>
      </c>
      <c r="F760">
        <v>29</v>
      </c>
      <c r="G760" t="s">
        <v>13</v>
      </c>
      <c r="H760" s="2">
        <v>46118</v>
      </c>
      <c r="I760" s="2">
        <v>46118</v>
      </c>
    </row>
    <row r="761" spans="1:9" x14ac:dyDescent="0.35">
      <c r="A761" t="s">
        <v>787</v>
      </c>
      <c r="B761" s="2">
        <v>46169</v>
      </c>
      <c r="C761" t="s">
        <v>10</v>
      </c>
      <c r="D761" t="s">
        <v>11</v>
      </c>
      <c r="E761" t="s">
        <v>22</v>
      </c>
      <c r="F761">
        <v>1</v>
      </c>
      <c r="G761" t="s">
        <v>13</v>
      </c>
      <c r="H761" s="2">
        <v>46173</v>
      </c>
      <c r="I761" s="2">
        <v>46172</v>
      </c>
    </row>
    <row r="762" spans="1:9" x14ac:dyDescent="0.35">
      <c r="A762" t="s">
        <v>788</v>
      </c>
      <c r="B762" s="2">
        <v>46129</v>
      </c>
      <c r="C762" t="s">
        <v>34</v>
      </c>
      <c r="D762" t="s">
        <v>35</v>
      </c>
      <c r="E762" t="s">
        <v>43</v>
      </c>
      <c r="F762">
        <v>28</v>
      </c>
      <c r="G762" t="s">
        <v>13</v>
      </c>
      <c r="H762" s="2">
        <v>46131</v>
      </c>
      <c r="I762" s="2">
        <v>46131</v>
      </c>
    </row>
    <row r="763" spans="1:9" x14ac:dyDescent="0.35">
      <c r="A763" t="s">
        <v>789</v>
      </c>
      <c r="B763" s="2">
        <v>46159</v>
      </c>
      <c r="C763" t="s">
        <v>10</v>
      </c>
      <c r="D763" t="s">
        <v>11</v>
      </c>
      <c r="E763" t="s">
        <v>22</v>
      </c>
      <c r="F763">
        <v>27</v>
      </c>
      <c r="G763" t="s">
        <v>13</v>
      </c>
      <c r="H763" s="2">
        <v>46162</v>
      </c>
      <c r="I763" s="2">
        <v>46161</v>
      </c>
    </row>
    <row r="764" spans="1:9" x14ac:dyDescent="0.35">
      <c r="A764" t="s">
        <v>790</v>
      </c>
      <c r="B764" s="2">
        <v>46135</v>
      </c>
      <c r="C764" t="s">
        <v>10</v>
      </c>
      <c r="D764" t="s">
        <v>11</v>
      </c>
      <c r="E764" t="s">
        <v>46</v>
      </c>
      <c r="F764">
        <v>25</v>
      </c>
      <c r="G764" t="s">
        <v>26</v>
      </c>
      <c r="H764" s="2">
        <v>46137</v>
      </c>
    </row>
    <row r="765" spans="1:9" x14ac:dyDescent="0.35">
      <c r="A765" t="s">
        <v>791</v>
      </c>
      <c r="B765" s="2">
        <v>46191</v>
      </c>
      <c r="C765" t="s">
        <v>10</v>
      </c>
      <c r="D765" t="s">
        <v>11</v>
      </c>
      <c r="E765" t="s">
        <v>12</v>
      </c>
      <c r="F765">
        <v>24</v>
      </c>
      <c r="G765" t="s">
        <v>26</v>
      </c>
      <c r="H765" s="2">
        <v>46193</v>
      </c>
    </row>
    <row r="766" spans="1:9" x14ac:dyDescent="0.35">
      <c r="A766" t="s">
        <v>792</v>
      </c>
      <c r="B766" s="2">
        <v>46197</v>
      </c>
      <c r="C766" t="s">
        <v>34</v>
      </c>
      <c r="D766" t="s">
        <v>35</v>
      </c>
      <c r="E766" t="s">
        <v>17</v>
      </c>
      <c r="F766">
        <v>23</v>
      </c>
      <c r="G766" t="s">
        <v>13</v>
      </c>
      <c r="H766" s="2">
        <v>46198</v>
      </c>
      <c r="I766" s="2">
        <v>46198</v>
      </c>
    </row>
    <row r="767" spans="1:9" x14ac:dyDescent="0.35">
      <c r="A767" t="s">
        <v>793</v>
      </c>
      <c r="B767" s="2">
        <v>46126</v>
      </c>
      <c r="C767" t="s">
        <v>10</v>
      </c>
      <c r="D767" t="s">
        <v>11</v>
      </c>
      <c r="E767" t="s">
        <v>55</v>
      </c>
      <c r="F767">
        <v>10</v>
      </c>
      <c r="G767" t="s">
        <v>13</v>
      </c>
      <c r="H767" s="2">
        <v>46129</v>
      </c>
      <c r="I767" s="2">
        <v>46128</v>
      </c>
    </row>
    <row r="768" spans="1:9" x14ac:dyDescent="0.35">
      <c r="A768" t="s">
        <v>794</v>
      </c>
      <c r="B768" s="2">
        <v>46178</v>
      </c>
      <c r="C768" t="s">
        <v>10</v>
      </c>
      <c r="D768" t="s">
        <v>11</v>
      </c>
      <c r="E768" t="s">
        <v>32</v>
      </c>
      <c r="F768">
        <v>15</v>
      </c>
      <c r="G768" t="s">
        <v>13</v>
      </c>
      <c r="H768" s="2">
        <v>46182</v>
      </c>
      <c r="I768" s="2">
        <v>46181</v>
      </c>
    </row>
    <row r="769" spans="1:9" x14ac:dyDescent="0.35">
      <c r="A769" t="s">
        <v>795</v>
      </c>
      <c r="B769" s="2">
        <v>46187</v>
      </c>
      <c r="C769" t="s">
        <v>10</v>
      </c>
      <c r="D769" t="s">
        <v>11</v>
      </c>
      <c r="E769" t="s">
        <v>55</v>
      </c>
      <c r="F769">
        <v>23</v>
      </c>
      <c r="G769" t="s">
        <v>13</v>
      </c>
      <c r="H769" s="2">
        <v>46190</v>
      </c>
      <c r="I769" s="2">
        <v>46190</v>
      </c>
    </row>
    <row r="770" spans="1:9" x14ac:dyDescent="0.35">
      <c r="A770" t="s">
        <v>796</v>
      </c>
      <c r="B770" s="2">
        <v>46163</v>
      </c>
      <c r="C770" t="s">
        <v>34</v>
      </c>
      <c r="D770" t="s">
        <v>35</v>
      </c>
      <c r="E770" t="s">
        <v>55</v>
      </c>
      <c r="F770">
        <v>21</v>
      </c>
      <c r="G770" t="s">
        <v>13</v>
      </c>
      <c r="H770" s="2">
        <v>46165</v>
      </c>
      <c r="I770" s="2">
        <v>46164</v>
      </c>
    </row>
    <row r="771" spans="1:9" x14ac:dyDescent="0.35">
      <c r="A771" t="s">
        <v>797</v>
      </c>
      <c r="B771" s="2">
        <v>46150</v>
      </c>
      <c r="C771" t="s">
        <v>15</v>
      </c>
      <c r="D771" t="s">
        <v>16</v>
      </c>
      <c r="E771" t="s">
        <v>46</v>
      </c>
      <c r="F771">
        <v>21</v>
      </c>
      <c r="G771" t="s">
        <v>26</v>
      </c>
      <c r="H771" s="2">
        <v>46154</v>
      </c>
    </row>
    <row r="772" spans="1:9" x14ac:dyDescent="0.35">
      <c r="A772" t="s">
        <v>798</v>
      </c>
      <c r="B772" s="2">
        <v>46176</v>
      </c>
      <c r="C772" t="s">
        <v>10</v>
      </c>
      <c r="D772" t="s">
        <v>11</v>
      </c>
      <c r="E772" t="s">
        <v>55</v>
      </c>
      <c r="F772">
        <v>11</v>
      </c>
      <c r="G772" t="s">
        <v>13</v>
      </c>
      <c r="H772" s="2">
        <v>46179</v>
      </c>
      <c r="I772" s="2">
        <v>46179</v>
      </c>
    </row>
    <row r="773" spans="1:9" x14ac:dyDescent="0.35">
      <c r="A773" t="s">
        <v>799</v>
      </c>
      <c r="B773" s="2">
        <v>46150</v>
      </c>
      <c r="C773" t="s">
        <v>15</v>
      </c>
      <c r="D773" t="s">
        <v>16</v>
      </c>
      <c r="E773" t="s">
        <v>17</v>
      </c>
      <c r="F773">
        <v>13</v>
      </c>
      <c r="G773" t="s">
        <v>26</v>
      </c>
      <c r="H773" s="2">
        <v>46152</v>
      </c>
    </row>
    <row r="774" spans="1:9" x14ac:dyDescent="0.35">
      <c r="A774" t="s">
        <v>800</v>
      </c>
      <c r="B774" s="2">
        <v>46162</v>
      </c>
      <c r="C774" t="s">
        <v>10</v>
      </c>
      <c r="D774" t="s">
        <v>11</v>
      </c>
      <c r="E774" t="s">
        <v>43</v>
      </c>
      <c r="F774">
        <v>5</v>
      </c>
      <c r="G774" t="s">
        <v>13</v>
      </c>
      <c r="H774" s="2">
        <v>46164</v>
      </c>
      <c r="I774" s="2">
        <v>46164</v>
      </c>
    </row>
    <row r="775" spans="1:9" x14ac:dyDescent="0.35">
      <c r="A775" t="s">
        <v>801</v>
      </c>
      <c r="B775" s="2">
        <v>46194</v>
      </c>
      <c r="C775" t="s">
        <v>10</v>
      </c>
      <c r="D775" t="s">
        <v>11</v>
      </c>
      <c r="E775" t="s">
        <v>24</v>
      </c>
      <c r="F775">
        <v>1</v>
      </c>
      <c r="G775" t="s">
        <v>13</v>
      </c>
      <c r="H775" s="2">
        <v>46195</v>
      </c>
      <c r="I775" s="2">
        <v>46195</v>
      </c>
    </row>
    <row r="776" spans="1:9" x14ac:dyDescent="0.35">
      <c r="A776" t="s">
        <v>802</v>
      </c>
      <c r="B776" s="2">
        <v>46142</v>
      </c>
      <c r="C776" t="s">
        <v>34</v>
      </c>
      <c r="D776" t="s">
        <v>35</v>
      </c>
      <c r="E776" t="s">
        <v>22</v>
      </c>
      <c r="F776">
        <v>24</v>
      </c>
      <c r="G776" t="s">
        <v>26</v>
      </c>
      <c r="H776" s="2">
        <v>46143</v>
      </c>
    </row>
    <row r="777" spans="1:9" x14ac:dyDescent="0.35">
      <c r="A777" t="s">
        <v>803</v>
      </c>
      <c r="B777" s="2">
        <v>46191</v>
      </c>
      <c r="C777" t="s">
        <v>10</v>
      </c>
      <c r="D777" t="s">
        <v>11</v>
      </c>
      <c r="E777" t="s">
        <v>24</v>
      </c>
      <c r="F777">
        <v>12</v>
      </c>
      <c r="G777" t="s">
        <v>13</v>
      </c>
      <c r="H777" s="2">
        <v>46192</v>
      </c>
      <c r="I777" s="2">
        <v>46192</v>
      </c>
    </row>
    <row r="778" spans="1:9" x14ac:dyDescent="0.35">
      <c r="A778" t="s">
        <v>804</v>
      </c>
      <c r="B778" s="2">
        <v>46203</v>
      </c>
      <c r="C778" t="s">
        <v>19</v>
      </c>
      <c r="D778" t="s">
        <v>20</v>
      </c>
      <c r="E778" t="s">
        <v>12</v>
      </c>
      <c r="F778">
        <v>11</v>
      </c>
      <c r="G778" t="s">
        <v>13</v>
      </c>
      <c r="H778" s="2">
        <v>46205</v>
      </c>
      <c r="I778" s="2">
        <v>46205</v>
      </c>
    </row>
    <row r="779" spans="1:9" x14ac:dyDescent="0.35">
      <c r="A779" t="s">
        <v>805</v>
      </c>
      <c r="B779" s="2">
        <v>46163</v>
      </c>
      <c r="C779" t="s">
        <v>19</v>
      </c>
      <c r="D779" t="s">
        <v>20</v>
      </c>
      <c r="E779" t="s">
        <v>17</v>
      </c>
      <c r="F779">
        <v>17</v>
      </c>
      <c r="G779" t="s">
        <v>13</v>
      </c>
      <c r="H779" s="2">
        <v>46166</v>
      </c>
      <c r="I779" s="2">
        <v>46165</v>
      </c>
    </row>
    <row r="780" spans="1:9" x14ac:dyDescent="0.35">
      <c r="A780" t="s">
        <v>806</v>
      </c>
      <c r="B780" s="2">
        <v>46175</v>
      </c>
      <c r="C780" t="s">
        <v>19</v>
      </c>
      <c r="D780" t="s">
        <v>20</v>
      </c>
      <c r="E780" t="s">
        <v>17</v>
      </c>
      <c r="F780">
        <v>4</v>
      </c>
      <c r="G780" t="s">
        <v>13</v>
      </c>
      <c r="H780" s="2">
        <v>46176</v>
      </c>
      <c r="I780" s="2">
        <v>46176</v>
      </c>
    </row>
    <row r="781" spans="1:9" x14ac:dyDescent="0.35">
      <c r="A781" t="s">
        <v>807</v>
      </c>
      <c r="B781" s="2">
        <v>46164</v>
      </c>
      <c r="C781" t="s">
        <v>19</v>
      </c>
      <c r="D781" t="s">
        <v>20</v>
      </c>
      <c r="E781" t="s">
        <v>32</v>
      </c>
      <c r="F781">
        <v>15</v>
      </c>
      <c r="G781" t="s">
        <v>62</v>
      </c>
      <c r="H781" s="2">
        <v>46167</v>
      </c>
      <c r="I781" s="2">
        <v>46171</v>
      </c>
    </row>
    <row r="782" spans="1:9" x14ac:dyDescent="0.35">
      <c r="A782" t="s">
        <v>808</v>
      </c>
      <c r="B782" s="2">
        <v>46150</v>
      </c>
      <c r="C782" t="s">
        <v>15</v>
      </c>
      <c r="D782" t="s">
        <v>16</v>
      </c>
      <c r="E782" t="s">
        <v>17</v>
      </c>
      <c r="F782">
        <v>25</v>
      </c>
      <c r="G782" t="s">
        <v>13</v>
      </c>
      <c r="H782" s="2">
        <v>46151</v>
      </c>
      <c r="I782" s="2">
        <v>46150</v>
      </c>
    </row>
    <row r="783" spans="1:9" x14ac:dyDescent="0.35">
      <c r="A783" t="s">
        <v>809</v>
      </c>
      <c r="B783" s="2">
        <v>46200</v>
      </c>
      <c r="C783" t="s">
        <v>15</v>
      </c>
      <c r="D783" t="s">
        <v>16</v>
      </c>
      <c r="E783" t="s">
        <v>22</v>
      </c>
      <c r="F783">
        <v>30</v>
      </c>
      <c r="G783" t="s">
        <v>62</v>
      </c>
      <c r="H783" s="2">
        <v>46204</v>
      </c>
      <c r="I783" s="2">
        <v>46205</v>
      </c>
    </row>
    <row r="784" spans="1:9" x14ac:dyDescent="0.35">
      <c r="A784" t="s">
        <v>810</v>
      </c>
      <c r="B784" s="2">
        <v>46191</v>
      </c>
      <c r="C784" t="s">
        <v>34</v>
      </c>
      <c r="D784" t="s">
        <v>35</v>
      </c>
      <c r="E784" t="s">
        <v>17</v>
      </c>
      <c r="F784">
        <v>9</v>
      </c>
      <c r="G784" t="s">
        <v>62</v>
      </c>
      <c r="H784" s="2">
        <v>46195</v>
      </c>
      <c r="I784" s="2">
        <v>46199</v>
      </c>
    </row>
    <row r="785" spans="1:9" x14ac:dyDescent="0.35">
      <c r="A785" t="s">
        <v>811</v>
      </c>
      <c r="B785" s="2">
        <v>46142</v>
      </c>
      <c r="C785" t="s">
        <v>15</v>
      </c>
      <c r="D785" t="s">
        <v>16</v>
      </c>
      <c r="E785" t="s">
        <v>55</v>
      </c>
      <c r="F785">
        <v>21</v>
      </c>
      <c r="G785" t="s">
        <v>26</v>
      </c>
      <c r="H785" s="2">
        <v>46143</v>
      </c>
    </row>
    <row r="786" spans="1:9" x14ac:dyDescent="0.35">
      <c r="A786" t="s">
        <v>812</v>
      </c>
      <c r="B786" s="2">
        <v>46163</v>
      </c>
      <c r="C786" t="s">
        <v>34</v>
      </c>
      <c r="D786" t="s">
        <v>35</v>
      </c>
      <c r="E786" t="s">
        <v>32</v>
      </c>
      <c r="F786">
        <v>20</v>
      </c>
      <c r="G786" t="s">
        <v>13</v>
      </c>
      <c r="H786" s="2">
        <v>46165</v>
      </c>
      <c r="I786" s="2">
        <v>46165</v>
      </c>
    </row>
    <row r="787" spans="1:9" x14ac:dyDescent="0.35">
      <c r="A787" t="s">
        <v>813</v>
      </c>
      <c r="B787" s="2">
        <v>46193</v>
      </c>
      <c r="C787" t="s">
        <v>34</v>
      </c>
      <c r="D787" t="s">
        <v>35</v>
      </c>
      <c r="E787" t="s">
        <v>22</v>
      </c>
      <c r="F787">
        <v>19</v>
      </c>
      <c r="G787" t="s">
        <v>13</v>
      </c>
      <c r="H787" s="2">
        <v>46194</v>
      </c>
      <c r="I787" s="2">
        <v>46193</v>
      </c>
    </row>
    <row r="788" spans="1:9" x14ac:dyDescent="0.35">
      <c r="A788" t="s">
        <v>814</v>
      </c>
      <c r="B788" s="2">
        <v>46117</v>
      </c>
      <c r="C788" t="s">
        <v>10</v>
      </c>
      <c r="D788" t="s">
        <v>11</v>
      </c>
      <c r="E788" t="s">
        <v>43</v>
      </c>
      <c r="F788">
        <v>19</v>
      </c>
      <c r="G788" t="s">
        <v>26</v>
      </c>
      <c r="H788" s="2">
        <v>46118</v>
      </c>
    </row>
    <row r="789" spans="1:9" x14ac:dyDescent="0.35">
      <c r="A789" t="s">
        <v>815</v>
      </c>
      <c r="B789" s="2">
        <v>46141</v>
      </c>
      <c r="C789" t="s">
        <v>10</v>
      </c>
      <c r="D789" t="s">
        <v>11</v>
      </c>
      <c r="E789" t="s">
        <v>43</v>
      </c>
      <c r="F789">
        <v>12</v>
      </c>
      <c r="G789" t="s">
        <v>13</v>
      </c>
      <c r="H789" s="2">
        <v>46143</v>
      </c>
      <c r="I789" s="2">
        <v>46142</v>
      </c>
    </row>
    <row r="790" spans="1:9" x14ac:dyDescent="0.35">
      <c r="A790" t="s">
        <v>816</v>
      </c>
      <c r="B790" s="2">
        <v>46116</v>
      </c>
      <c r="C790" t="s">
        <v>10</v>
      </c>
      <c r="D790" t="s">
        <v>11</v>
      </c>
      <c r="E790" t="s">
        <v>43</v>
      </c>
      <c r="F790">
        <v>5</v>
      </c>
      <c r="G790" t="s">
        <v>13</v>
      </c>
      <c r="H790" s="2">
        <v>46120</v>
      </c>
      <c r="I790" s="2">
        <v>46119</v>
      </c>
    </row>
    <row r="791" spans="1:9" x14ac:dyDescent="0.35">
      <c r="A791" t="s">
        <v>817</v>
      </c>
      <c r="B791" s="2">
        <v>46122</v>
      </c>
      <c r="C791" t="s">
        <v>34</v>
      </c>
      <c r="D791" t="s">
        <v>35</v>
      </c>
      <c r="E791" t="s">
        <v>43</v>
      </c>
      <c r="F791">
        <v>10</v>
      </c>
      <c r="G791" t="s">
        <v>13</v>
      </c>
      <c r="H791" s="2">
        <v>46125</v>
      </c>
      <c r="I791" s="2">
        <v>46125</v>
      </c>
    </row>
    <row r="792" spans="1:9" x14ac:dyDescent="0.35">
      <c r="A792" t="s">
        <v>818</v>
      </c>
      <c r="B792" s="2">
        <v>46168</v>
      </c>
      <c r="C792" t="s">
        <v>19</v>
      </c>
      <c r="D792" t="s">
        <v>20</v>
      </c>
      <c r="E792" t="s">
        <v>55</v>
      </c>
      <c r="F792">
        <v>17</v>
      </c>
      <c r="G792" t="s">
        <v>13</v>
      </c>
      <c r="H792" s="2">
        <v>46169</v>
      </c>
      <c r="I792" s="2">
        <v>46168</v>
      </c>
    </row>
    <row r="793" spans="1:9" x14ac:dyDescent="0.35">
      <c r="A793" t="s">
        <v>819</v>
      </c>
      <c r="B793" s="2">
        <v>46129</v>
      </c>
      <c r="C793" t="s">
        <v>34</v>
      </c>
      <c r="D793" t="s">
        <v>35</v>
      </c>
      <c r="E793" t="s">
        <v>17</v>
      </c>
      <c r="F793">
        <v>5</v>
      </c>
      <c r="G793" t="s">
        <v>13</v>
      </c>
      <c r="H793" s="2">
        <v>46131</v>
      </c>
      <c r="I793" s="2">
        <v>46131</v>
      </c>
    </row>
    <row r="794" spans="1:9" x14ac:dyDescent="0.35">
      <c r="A794" t="s">
        <v>820</v>
      </c>
      <c r="B794" s="2">
        <v>46186</v>
      </c>
      <c r="C794" t="s">
        <v>19</v>
      </c>
      <c r="D794" t="s">
        <v>20</v>
      </c>
      <c r="E794" t="s">
        <v>24</v>
      </c>
      <c r="F794">
        <v>22</v>
      </c>
      <c r="G794" t="s">
        <v>13</v>
      </c>
      <c r="H794" s="2">
        <v>46187</v>
      </c>
      <c r="I794" s="2">
        <v>46186</v>
      </c>
    </row>
    <row r="795" spans="1:9" x14ac:dyDescent="0.35">
      <c r="A795" t="s">
        <v>821</v>
      </c>
      <c r="B795" s="2">
        <v>46129</v>
      </c>
      <c r="C795" t="s">
        <v>15</v>
      </c>
      <c r="D795" t="s">
        <v>16</v>
      </c>
      <c r="E795" t="s">
        <v>22</v>
      </c>
      <c r="F795">
        <v>16</v>
      </c>
      <c r="G795" t="s">
        <v>13</v>
      </c>
      <c r="H795" s="2">
        <v>46131</v>
      </c>
      <c r="I795" s="2">
        <v>46130</v>
      </c>
    </row>
    <row r="796" spans="1:9" x14ac:dyDescent="0.35">
      <c r="A796" t="s">
        <v>822</v>
      </c>
      <c r="B796" s="2">
        <v>46196</v>
      </c>
      <c r="C796" t="s">
        <v>19</v>
      </c>
      <c r="D796" t="s">
        <v>20</v>
      </c>
      <c r="E796" t="s">
        <v>55</v>
      </c>
      <c r="F796">
        <v>7</v>
      </c>
      <c r="G796" t="s">
        <v>26</v>
      </c>
      <c r="H796" s="2">
        <v>46199</v>
      </c>
    </row>
    <row r="797" spans="1:9" x14ac:dyDescent="0.35">
      <c r="A797" t="s">
        <v>823</v>
      </c>
      <c r="B797" s="2">
        <v>46200</v>
      </c>
      <c r="C797" t="s">
        <v>10</v>
      </c>
      <c r="D797" t="s">
        <v>11</v>
      </c>
      <c r="E797" t="s">
        <v>43</v>
      </c>
      <c r="F797">
        <v>28</v>
      </c>
      <c r="G797" t="s">
        <v>13</v>
      </c>
      <c r="H797" s="2">
        <v>46203</v>
      </c>
      <c r="I797" s="2">
        <v>46202</v>
      </c>
    </row>
    <row r="798" spans="1:9" x14ac:dyDescent="0.35">
      <c r="A798" t="s">
        <v>824</v>
      </c>
      <c r="B798" s="2">
        <v>46181</v>
      </c>
      <c r="C798" t="s">
        <v>34</v>
      </c>
      <c r="D798" t="s">
        <v>35</v>
      </c>
      <c r="E798" t="s">
        <v>12</v>
      </c>
      <c r="F798">
        <v>9</v>
      </c>
      <c r="G798" t="s">
        <v>62</v>
      </c>
      <c r="H798" s="2">
        <v>46185</v>
      </c>
      <c r="I798" s="2">
        <v>46189</v>
      </c>
    </row>
    <row r="799" spans="1:9" x14ac:dyDescent="0.35">
      <c r="A799" t="s">
        <v>825</v>
      </c>
      <c r="B799" s="2">
        <v>46146</v>
      </c>
      <c r="C799" t="s">
        <v>15</v>
      </c>
      <c r="D799" t="s">
        <v>16</v>
      </c>
      <c r="E799" t="s">
        <v>17</v>
      </c>
      <c r="F799">
        <v>3</v>
      </c>
      <c r="G799" t="s">
        <v>13</v>
      </c>
      <c r="H799" s="2">
        <v>46148</v>
      </c>
      <c r="I799" s="2">
        <v>46148</v>
      </c>
    </row>
    <row r="800" spans="1:9" x14ac:dyDescent="0.35">
      <c r="A800" t="s">
        <v>826</v>
      </c>
      <c r="B800" s="2">
        <v>46118</v>
      </c>
      <c r="C800" t="s">
        <v>34</v>
      </c>
      <c r="D800" t="s">
        <v>35</v>
      </c>
      <c r="E800" t="s">
        <v>24</v>
      </c>
      <c r="F800">
        <v>15</v>
      </c>
      <c r="G800" t="s">
        <v>26</v>
      </c>
      <c r="H800" s="2">
        <v>46120</v>
      </c>
    </row>
    <row r="801" spans="1:9" x14ac:dyDescent="0.35">
      <c r="A801" t="s">
        <v>827</v>
      </c>
      <c r="B801" s="2">
        <v>46165</v>
      </c>
      <c r="C801" t="s">
        <v>15</v>
      </c>
      <c r="D801" t="s">
        <v>16</v>
      </c>
      <c r="E801" t="s">
        <v>12</v>
      </c>
      <c r="F801">
        <v>16</v>
      </c>
      <c r="G801" t="s">
        <v>13</v>
      </c>
      <c r="H801" s="2">
        <v>46169</v>
      </c>
      <c r="I801" s="2">
        <v>46169</v>
      </c>
    </row>
    <row r="802" spans="1:9" x14ac:dyDescent="0.35">
      <c r="A802" t="s">
        <v>828</v>
      </c>
      <c r="B802" s="2">
        <v>46178</v>
      </c>
      <c r="C802" t="s">
        <v>15</v>
      </c>
      <c r="D802" t="s">
        <v>16</v>
      </c>
      <c r="E802" t="s">
        <v>32</v>
      </c>
      <c r="F802">
        <v>18</v>
      </c>
      <c r="G802" t="s">
        <v>26</v>
      </c>
      <c r="H802" s="2">
        <v>46182</v>
      </c>
    </row>
    <row r="803" spans="1:9" x14ac:dyDescent="0.35">
      <c r="A803" t="s">
        <v>829</v>
      </c>
      <c r="B803" s="2">
        <v>46189</v>
      </c>
      <c r="C803" t="s">
        <v>10</v>
      </c>
      <c r="D803" t="s">
        <v>11</v>
      </c>
      <c r="E803" t="s">
        <v>12</v>
      </c>
      <c r="F803">
        <v>14</v>
      </c>
      <c r="G803" t="s">
        <v>13</v>
      </c>
      <c r="H803" s="2">
        <v>46191</v>
      </c>
      <c r="I803" s="2">
        <v>46190</v>
      </c>
    </row>
    <row r="804" spans="1:9" x14ac:dyDescent="0.35">
      <c r="A804" t="s">
        <v>830</v>
      </c>
      <c r="B804" s="2">
        <v>46155</v>
      </c>
      <c r="C804" t="s">
        <v>34</v>
      </c>
      <c r="D804" t="s">
        <v>35</v>
      </c>
      <c r="E804" t="s">
        <v>32</v>
      </c>
      <c r="F804">
        <v>3</v>
      </c>
      <c r="G804" t="s">
        <v>26</v>
      </c>
      <c r="H804" s="2">
        <v>46159</v>
      </c>
    </row>
    <row r="805" spans="1:9" x14ac:dyDescent="0.35">
      <c r="A805" t="s">
        <v>831</v>
      </c>
      <c r="B805" s="2">
        <v>46187</v>
      </c>
      <c r="C805" t="s">
        <v>10</v>
      </c>
      <c r="D805" t="s">
        <v>11</v>
      </c>
      <c r="E805" t="s">
        <v>32</v>
      </c>
      <c r="F805">
        <v>12</v>
      </c>
      <c r="G805" t="s">
        <v>13</v>
      </c>
      <c r="H805" s="2">
        <v>46190</v>
      </c>
      <c r="I805" s="2">
        <v>46189</v>
      </c>
    </row>
    <row r="806" spans="1:9" x14ac:dyDescent="0.35">
      <c r="A806" t="s">
        <v>832</v>
      </c>
      <c r="B806" s="2">
        <v>46135</v>
      </c>
      <c r="C806" t="s">
        <v>19</v>
      </c>
      <c r="D806" t="s">
        <v>20</v>
      </c>
      <c r="E806" t="s">
        <v>43</v>
      </c>
      <c r="F806">
        <v>9</v>
      </c>
      <c r="G806" t="s">
        <v>26</v>
      </c>
      <c r="H806" s="2">
        <v>46136</v>
      </c>
    </row>
    <row r="807" spans="1:9" x14ac:dyDescent="0.35">
      <c r="A807" t="s">
        <v>833</v>
      </c>
      <c r="B807" s="2">
        <v>46167</v>
      </c>
      <c r="C807" t="s">
        <v>34</v>
      </c>
      <c r="D807" t="s">
        <v>35</v>
      </c>
      <c r="E807" t="s">
        <v>32</v>
      </c>
      <c r="F807">
        <v>28</v>
      </c>
      <c r="G807" t="s">
        <v>62</v>
      </c>
      <c r="H807" s="2">
        <v>46170</v>
      </c>
      <c r="I807" s="2">
        <v>46173</v>
      </c>
    </row>
    <row r="808" spans="1:9" x14ac:dyDescent="0.35">
      <c r="A808" t="s">
        <v>834</v>
      </c>
      <c r="B808" s="2">
        <v>46192</v>
      </c>
      <c r="C808" t="s">
        <v>10</v>
      </c>
      <c r="D808" t="s">
        <v>11</v>
      </c>
      <c r="E808" t="s">
        <v>46</v>
      </c>
      <c r="F808">
        <v>7</v>
      </c>
      <c r="G808" t="s">
        <v>13</v>
      </c>
      <c r="H808" s="2">
        <v>46196</v>
      </c>
      <c r="I808" s="2">
        <v>46196</v>
      </c>
    </row>
    <row r="809" spans="1:9" x14ac:dyDescent="0.35">
      <c r="A809" t="s">
        <v>835</v>
      </c>
      <c r="B809" s="2">
        <v>46187</v>
      </c>
      <c r="C809" t="s">
        <v>15</v>
      </c>
      <c r="D809" t="s">
        <v>16</v>
      </c>
      <c r="E809" t="s">
        <v>22</v>
      </c>
      <c r="F809">
        <v>9</v>
      </c>
      <c r="G809" t="s">
        <v>13</v>
      </c>
      <c r="H809" s="2">
        <v>46189</v>
      </c>
      <c r="I809" s="2">
        <v>46189</v>
      </c>
    </row>
    <row r="810" spans="1:9" x14ac:dyDescent="0.35">
      <c r="A810" t="s">
        <v>836</v>
      </c>
      <c r="B810" s="2">
        <v>46128</v>
      </c>
      <c r="C810" t="s">
        <v>10</v>
      </c>
      <c r="D810" t="s">
        <v>11</v>
      </c>
      <c r="E810" t="s">
        <v>22</v>
      </c>
      <c r="F810">
        <v>13</v>
      </c>
      <c r="G810" t="s">
        <v>26</v>
      </c>
      <c r="H810" s="2">
        <v>46130</v>
      </c>
    </row>
    <row r="811" spans="1:9" x14ac:dyDescent="0.35">
      <c r="A811" t="s">
        <v>837</v>
      </c>
      <c r="B811" s="2">
        <v>46120</v>
      </c>
      <c r="C811" t="s">
        <v>34</v>
      </c>
      <c r="D811" t="s">
        <v>35</v>
      </c>
      <c r="E811" t="s">
        <v>43</v>
      </c>
      <c r="F811">
        <v>18</v>
      </c>
      <c r="G811" t="s">
        <v>13</v>
      </c>
      <c r="H811" s="2">
        <v>46123</v>
      </c>
      <c r="I811" s="2">
        <v>46123</v>
      </c>
    </row>
    <row r="812" spans="1:9" x14ac:dyDescent="0.35">
      <c r="A812" t="s">
        <v>838</v>
      </c>
      <c r="B812" s="2">
        <v>46116</v>
      </c>
      <c r="C812" t="s">
        <v>19</v>
      </c>
      <c r="D812" t="s">
        <v>20</v>
      </c>
      <c r="E812" t="s">
        <v>46</v>
      </c>
      <c r="F812">
        <v>5</v>
      </c>
      <c r="G812" t="s">
        <v>26</v>
      </c>
      <c r="H812" s="2">
        <v>46118</v>
      </c>
    </row>
    <row r="813" spans="1:9" x14ac:dyDescent="0.35">
      <c r="A813" t="s">
        <v>839</v>
      </c>
      <c r="B813" s="2">
        <v>46116</v>
      </c>
      <c r="C813" t="s">
        <v>19</v>
      </c>
      <c r="D813" t="s">
        <v>20</v>
      </c>
      <c r="E813" t="s">
        <v>12</v>
      </c>
      <c r="F813">
        <v>13</v>
      </c>
      <c r="G813" t="s">
        <v>13</v>
      </c>
      <c r="H813" s="2">
        <v>46120</v>
      </c>
      <c r="I813" s="2">
        <v>46119</v>
      </c>
    </row>
    <row r="814" spans="1:9" x14ac:dyDescent="0.35">
      <c r="A814" t="s">
        <v>840</v>
      </c>
      <c r="B814" s="2">
        <v>46168</v>
      </c>
      <c r="C814" t="s">
        <v>34</v>
      </c>
      <c r="D814" t="s">
        <v>35</v>
      </c>
      <c r="E814" t="s">
        <v>55</v>
      </c>
      <c r="F814">
        <v>4</v>
      </c>
      <c r="G814" t="s">
        <v>13</v>
      </c>
      <c r="H814" s="2">
        <v>46171</v>
      </c>
      <c r="I814" s="2">
        <v>46170</v>
      </c>
    </row>
    <row r="815" spans="1:9" x14ac:dyDescent="0.35">
      <c r="A815" t="s">
        <v>841</v>
      </c>
      <c r="B815" s="2">
        <v>46137</v>
      </c>
      <c r="C815" t="s">
        <v>15</v>
      </c>
      <c r="D815" t="s">
        <v>16</v>
      </c>
      <c r="E815" t="s">
        <v>12</v>
      </c>
      <c r="F815">
        <v>2</v>
      </c>
      <c r="G815" t="s">
        <v>62</v>
      </c>
      <c r="H815" s="2">
        <v>46139</v>
      </c>
      <c r="I815" s="2">
        <v>46142</v>
      </c>
    </row>
    <row r="816" spans="1:9" x14ac:dyDescent="0.35">
      <c r="A816" t="s">
        <v>842</v>
      </c>
      <c r="B816" s="2">
        <v>46179</v>
      </c>
      <c r="C816" t="s">
        <v>19</v>
      </c>
      <c r="D816" t="s">
        <v>20</v>
      </c>
      <c r="E816" t="s">
        <v>17</v>
      </c>
      <c r="F816">
        <v>16</v>
      </c>
      <c r="G816" t="s">
        <v>13</v>
      </c>
      <c r="H816" s="2">
        <v>46180</v>
      </c>
      <c r="I816" s="2">
        <v>46180</v>
      </c>
    </row>
    <row r="817" spans="1:9" x14ac:dyDescent="0.35">
      <c r="A817" t="s">
        <v>843</v>
      </c>
      <c r="B817" s="2">
        <v>46179</v>
      </c>
      <c r="C817" t="s">
        <v>19</v>
      </c>
      <c r="D817" t="s">
        <v>20</v>
      </c>
      <c r="E817" t="s">
        <v>55</v>
      </c>
      <c r="F817">
        <v>9</v>
      </c>
      <c r="G817" t="s">
        <v>26</v>
      </c>
      <c r="H817" s="2">
        <v>46180</v>
      </c>
    </row>
    <row r="818" spans="1:9" x14ac:dyDescent="0.35">
      <c r="A818" t="s">
        <v>844</v>
      </c>
      <c r="B818" s="2">
        <v>46139</v>
      </c>
      <c r="C818" t="s">
        <v>15</v>
      </c>
      <c r="D818" t="s">
        <v>16</v>
      </c>
      <c r="E818" t="s">
        <v>32</v>
      </c>
      <c r="F818">
        <v>9</v>
      </c>
      <c r="G818" t="s">
        <v>13</v>
      </c>
      <c r="H818" s="2">
        <v>46143</v>
      </c>
      <c r="I818" s="2">
        <v>46143</v>
      </c>
    </row>
    <row r="819" spans="1:9" x14ac:dyDescent="0.35">
      <c r="A819" t="s">
        <v>845</v>
      </c>
      <c r="B819" s="2">
        <v>46144</v>
      </c>
      <c r="C819" t="s">
        <v>15</v>
      </c>
      <c r="D819" t="s">
        <v>16</v>
      </c>
      <c r="E819" t="s">
        <v>24</v>
      </c>
      <c r="F819">
        <v>6</v>
      </c>
      <c r="G819" t="s">
        <v>13</v>
      </c>
      <c r="H819" s="2">
        <v>46146</v>
      </c>
      <c r="I819" s="2">
        <v>46146</v>
      </c>
    </row>
    <row r="820" spans="1:9" x14ac:dyDescent="0.35">
      <c r="A820" t="s">
        <v>846</v>
      </c>
      <c r="B820" s="2">
        <v>46162</v>
      </c>
      <c r="C820" t="s">
        <v>19</v>
      </c>
      <c r="D820" t="s">
        <v>20</v>
      </c>
      <c r="E820" t="s">
        <v>55</v>
      </c>
      <c r="F820">
        <v>11</v>
      </c>
      <c r="G820" t="s">
        <v>13</v>
      </c>
      <c r="H820" s="2">
        <v>46166</v>
      </c>
      <c r="I820" s="2">
        <v>46166</v>
      </c>
    </row>
    <row r="821" spans="1:9" x14ac:dyDescent="0.35">
      <c r="A821" t="s">
        <v>847</v>
      </c>
      <c r="B821" s="2">
        <v>46173</v>
      </c>
      <c r="C821" t="s">
        <v>15</v>
      </c>
      <c r="D821" t="s">
        <v>16</v>
      </c>
      <c r="E821" t="s">
        <v>24</v>
      </c>
      <c r="F821">
        <v>22</v>
      </c>
      <c r="G821" t="s">
        <v>13</v>
      </c>
      <c r="H821" s="2">
        <v>46176</v>
      </c>
      <c r="I821" s="2">
        <v>46176</v>
      </c>
    </row>
    <row r="822" spans="1:9" x14ac:dyDescent="0.35">
      <c r="A822" t="s">
        <v>848</v>
      </c>
      <c r="B822" s="2">
        <v>46163</v>
      </c>
      <c r="C822" t="s">
        <v>19</v>
      </c>
      <c r="D822" t="s">
        <v>20</v>
      </c>
      <c r="E822" t="s">
        <v>22</v>
      </c>
      <c r="F822">
        <v>24</v>
      </c>
      <c r="G822" t="s">
        <v>13</v>
      </c>
      <c r="H822" s="2">
        <v>46164</v>
      </c>
      <c r="I822" s="2">
        <v>46163</v>
      </c>
    </row>
    <row r="823" spans="1:9" x14ac:dyDescent="0.35">
      <c r="A823" t="s">
        <v>849</v>
      </c>
      <c r="B823" s="2">
        <v>46131</v>
      </c>
      <c r="C823" t="s">
        <v>34</v>
      </c>
      <c r="D823" t="s">
        <v>35</v>
      </c>
      <c r="E823" t="s">
        <v>24</v>
      </c>
      <c r="F823">
        <v>22</v>
      </c>
      <c r="G823" t="s">
        <v>13</v>
      </c>
      <c r="H823" s="2">
        <v>46134</v>
      </c>
      <c r="I823" s="2">
        <v>46133</v>
      </c>
    </row>
    <row r="824" spans="1:9" x14ac:dyDescent="0.35">
      <c r="A824" t="s">
        <v>850</v>
      </c>
      <c r="B824" s="2">
        <v>46133</v>
      </c>
      <c r="C824" t="s">
        <v>15</v>
      </c>
      <c r="D824" t="s">
        <v>16</v>
      </c>
      <c r="E824" t="s">
        <v>22</v>
      </c>
      <c r="F824">
        <v>1</v>
      </c>
      <c r="G824" t="s">
        <v>13</v>
      </c>
      <c r="H824" s="2">
        <v>46135</v>
      </c>
      <c r="I824" s="2">
        <v>46134</v>
      </c>
    </row>
    <row r="825" spans="1:9" x14ac:dyDescent="0.35">
      <c r="A825" t="s">
        <v>851</v>
      </c>
      <c r="B825" s="2">
        <v>46117</v>
      </c>
      <c r="C825" t="s">
        <v>19</v>
      </c>
      <c r="D825" t="s">
        <v>20</v>
      </c>
      <c r="E825" t="s">
        <v>46</v>
      </c>
      <c r="F825">
        <v>4</v>
      </c>
      <c r="G825" t="s">
        <v>13</v>
      </c>
      <c r="H825" s="2">
        <v>46121</v>
      </c>
      <c r="I825" s="2">
        <v>46121</v>
      </c>
    </row>
    <row r="826" spans="1:9" x14ac:dyDescent="0.35">
      <c r="A826" t="s">
        <v>852</v>
      </c>
      <c r="B826" s="2">
        <v>46194</v>
      </c>
      <c r="C826" t="s">
        <v>34</v>
      </c>
      <c r="D826" t="s">
        <v>35</v>
      </c>
      <c r="E826" t="s">
        <v>46</v>
      </c>
      <c r="F826">
        <v>13</v>
      </c>
      <c r="G826" t="s">
        <v>26</v>
      </c>
      <c r="H826" s="2">
        <v>46198</v>
      </c>
    </row>
    <row r="827" spans="1:9" x14ac:dyDescent="0.35">
      <c r="A827" t="s">
        <v>853</v>
      </c>
      <c r="B827" s="2">
        <v>46154</v>
      </c>
      <c r="C827" t="s">
        <v>34</v>
      </c>
      <c r="D827" t="s">
        <v>35</v>
      </c>
      <c r="E827" t="s">
        <v>43</v>
      </c>
      <c r="F827">
        <v>23</v>
      </c>
      <c r="G827" t="s">
        <v>13</v>
      </c>
      <c r="H827" s="2">
        <v>46158</v>
      </c>
      <c r="I827" s="2">
        <v>46158</v>
      </c>
    </row>
    <row r="828" spans="1:9" x14ac:dyDescent="0.35">
      <c r="A828" t="s">
        <v>854</v>
      </c>
      <c r="B828" s="2">
        <v>46173</v>
      </c>
      <c r="C828" t="s">
        <v>15</v>
      </c>
      <c r="D828" t="s">
        <v>16</v>
      </c>
      <c r="E828" t="s">
        <v>43</v>
      </c>
      <c r="F828">
        <v>13</v>
      </c>
      <c r="G828" t="s">
        <v>13</v>
      </c>
      <c r="H828" s="2">
        <v>46176</v>
      </c>
      <c r="I828" s="2">
        <v>46176</v>
      </c>
    </row>
    <row r="829" spans="1:9" x14ac:dyDescent="0.35">
      <c r="A829" t="s">
        <v>855</v>
      </c>
      <c r="B829" s="2">
        <v>46134</v>
      </c>
      <c r="C829" t="s">
        <v>15</v>
      </c>
      <c r="D829" t="s">
        <v>16</v>
      </c>
      <c r="E829" t="s">
        <v>32</v>
      </c>
      <c r="F829">
        <v>13</v>
      </c>
      <c r="G829" t="s">
        <v>13</v>
      </c>
      <c r="H829" s="2">
        <v>46135</v>
      </c>
      <c r="I829" s="2">
        <v>46134</v>
      </c>
    </row>
    <row r="830" spans="1:9" x14ac:dyDescent="0.35">
      <c r="A830" t="s">
        <v>856</v>
      </c>
      <c r="B830" s="2">
        <v>46133</v>
      </c>
      <c r="C830" t="s">
        <v>10</v>
      </c>
      <c r="D830" t="s">
        <v>11</v>
      </c>
      <c r="E830" t="s">
        <v>55</v>
      </c>
      <c r="F830">
        <v>2</v>
      </c>
      <c r="G830" t="s">
        <v>13</v>
      </c>
      <c r="H830" s="2">
        <v>46136</v>
      </c>
      <c r="I830" s="2">
        <v>46136</v>
      </c>
    </row>
    <row r="831" spans="1:9" x14ac:dyDescent="0.35">
      <c r="A831" t="s">
        <v>857</v>
      </c>
      <c r="B831" s="2">
        <v>46182</v>
      </c>
      <c r="C831" t="s">
        <v>34</v>
      </c>
      <c r="D831" t="s">
        <v>35</v>
      </c>
      <c r="E831" t="s">
        <v>32</v>
      </c>
      <c r="F831">
        <v>9</v>
      </c>
      <c r="G831" t="s">
        <v>26</v>
      </c>
      <c r="H831" s="2">
        <v>46185</v>
      </c>
    </row>
    <row r="832" spans="1:9" x14ac:dyDescent="0.35">
      <c r="A832" t="s">
        <v>858</v>
      </c>
      <c r="B832" s="2">
        <v>46113</v>
      </c>
      <c r="C832" t="s">
        <v>10</v>
      </c>
      <c r="D832" t="s">
        <v>11</v>
      </c>
      <c r="E832" t="s">
        <v>22</v>
      </c>
      <c r="F832">
        <v>24</v>
      </c>
      <c r="G832" t="s">
        <v>13</v>
      </c>
      <c r="H832" s="2">
        <v>46115</v>
      </c>
      <c r="I832" s="2">
        <v>46115</v>
      </c>
    </row>
    <row r="833" spans="1:9" x14ac:dyDescent="0.35">
      <c r="A833" t="s">
        <v>859</v>
      </c>
      <c r="B833" s="2">
        <v>46117</v>
      </c>
      <c r="C833" t="s">
        <v>19</v>
      </c>
      <c r="D833" t="s">
        <v>20</v>
      </c>
      <c r="E833" t="s">
        <v>32</v>
      </c>
      <c r="F833">
        <v>8</v>
      </c>
      <c r="G833" t="s">
        <v>13</v>
      </c>
      <c r="H833" s="2">
        <v>46119</v>
      </c>
      <c r="I833" s="2">
        <v>46118</v>
      </c>
    </row>
    <row r="834" spans="1:9" x14ac:dyDescent="0.35">
      <c r="A834" t="s">
        <v>860</v>
      </c>
      <c r="B834" s="2">
        <v>46124</v>
      </c>
      <c r="C834" t="s">
        <v>10</v>
      </c>
      <c r="D834" t="s">
        <v>11</v>
      </c>
      <c r="E834" t="s">
        <v>24</v>
      </c>
      <c r="F834">
        <v>7</v>
      </c>
      <c r="G834" t="s">
        <v>13</v>
      </c>
      <c r="H834" s="2">
        <v>46126</v>
      </c>
      <c r="I834" s="2">
        <v>46126</v>
      </c>
    </row>
    <row r="835" spans="1:9" x14ac:dyDescent="0.35">
      <c r="A835" t="s">
        <v>861</v>
      </c>
      <c r="B835" s="2">
        <v>46202</v>
      </c>
      <c r="C835" t="s">
        <v>15</v>
      </c>
      <c r="D835" t="s">
        <v>16</v>
      </c>
      <c r="E835" t="s">
        <v>22</v>
      </c>
      <c r="F835">
        <v>4</v>
      </c>
      <c r="G835" t="s">
        <v>13</v>
      </c>
      <c r="H835" s="2">
        <v>46203</v>
      </c>
      <c r="I835" s="2">
        <v>46202</v>
      </c>
    </row>
    <row r="836" spans="1:9" x14ac:dyDescent="0.35">
      <c r="A836" t="s">
        <v>862</v>
      </c>
      <c r="B836" s="2">
        <v>46158</v>
      </c>
      <c r="C836" t="s">
        <v>34</v>
      </c>
      <c r="D836" t="s">
        <v>35</v>
      </c>
      <c r="E836" t="s">
        <v>43</v>
      </c>
      <c r="F836">
        <v>18</v>
      </c>
      <c r="G836" t="s">
        <v>26</v>
      </c>
      <c r="H836" s="2">
        <v>46159</v>
      </c>
    </row>
    <row r="837" spans="1:9" x14ac:dyDescent="0.35">
      <c r="A837" t="s">
        <v>863</v>
      </c>
      <c r="B837" s="2">
        <v>46146</v>
      </c>
      <c r="C837" t="s">
        <v>19</v>
      </c>
      <c r="D837" t="s">
        <v>20</v>
      </c>
      <c r="E837" t="s">
        <v>46</v>
      </c>
      <c r="F837">
        <v>3</v>
      </c>
      <c r="G837" t="s">
        <v>13</v>
      </c>
      <c r="H837" s="2">
        <v>46148</v>
      </c>
      <c r="I837" s="2">
        <v>46147</v>
      </c>
    </row>
    <row r="838" spans="1:9" x14ac:dyDescent="0.35">
      <c r="A838" t="s">
        <v>864</v>
      </c>
      <c r="B838" s="2">
        <v>46161</v>
      </c>
      <c r="C838" t="s">
        <v>19</v>
      </c>
      <c r="D838" t="s">
        <v>20</v>
      </c>
      <c r="E838" t="s">
        <v>43</v>
      </c>
      <c r="F838">
        <v>28</v>
      </c>
      <c r="G838" t="s">
        <v>26</v>
      </c>
      <c r="H838" s="2">
        <v>46163</v>
      </c>
    </row>
    <row r="839" spans="1:9" x14ac:dyDescent="0.35">
      <c r="A839" t="s">
        <v>865</v>
      </c>
      <c r="B839" s="2">
        <v>46190</v>
      </c>
      <c r="C839" t="s">
        <v>10</v>
      </c>
      <c r="D839" t="s">
        <v>11</v>
      </c>
      <c r="E839" t="s">
        <v>55</v>
      </c>
      <c r="F839">
        <v>6</v>
      </c>
      <c r="G839" t="s">
        <v>13</v>
      </c>
      <c r="H839" s="2">
        <v>46191</v>
      </c>
      <c r="I839" s="2">
        <v>46191</v>
      </c>
    </row>
    <row r="840" spans="1:9" x14ac:dyDescent="0.35">
      <c r="A840" t="s">
        <v>866</v>
      </c>
      <c r="B840" s="2">
        <v>46202</v>
      </c>
      <c r="C840" t="s">
        <v>15</v>
      </c>
      <c r="D840" t="s">
        <v>16</v>
      </c>
      <c r="E840" t="s">
        <v>22</v>
      </c>
      <c r="F840">
        <v>12</v>
      </c>
      <c r="G840" t="s">
        <v>13</v>
      </c>
      <c r="H840" s="2">
        <v>46206</v>
      </c>
      <c r="I840" s="2">
        <v>46205</v>
      </c>
    </row>
    <row r="841" spans="1:9" x14ac:dyDescent="0.35">
      <c r="A841" t="s">
        <v>867</v>
      </c>
      <c r="B841" s="2">
        <v>46157</v>
      </c>
      <c r="C841" t="s">
        <v>34</v>
      </c>
      <c r="D841" t="s">
        <v>35</v>
      </c>
      <c r="E841" t="s">
        <v>22</v>
      </c>
      <c r="F841">
        <v>12</v>
      </c>
      <c r="G841" t="s">
        <v>62</v>
      </c>
      <c r="H841" s="2">
        <v>46158</v>
      </c>
      <c r="I841" s="2">
        <v>46161</v>
      </c>
    </row>
    <row r="842" spans="1:9" x14ac:dyDescent="0.35">
      <c r="A842" t="s">
        <v>868</v>
      </c>
      <c r="B842" s="2">
        <v>46139</v>
      </c>
      <c r="C842" t="s">
        <v>10</v>
      </c>
      <c r="D842" t="s">
        <v>11</v>
      </c>
      <c r="E842" t="s">
        <v>24</v>
      </c>
      <c r="F842">
        <v>21</v>
      </c>
      <c r="G842" t="s">
        <v>13</v>
      </c>
      <c r="H842" s="2">
        <v>46140</v>
      </c>
      <c r="I842" s="2">
        <v>46139</v>
      </c>
    </row>
    <row r="843" spans="1:9" x14ac:dyDescent="0.35">
      <c r="A843" t="s">
        <v>869</v>
      </c>
      <c r="B843" s="2">
        <v>46185</v>
      </c>
      <c r="C843" t="s">
        <v>19</v>
      </c>
      <c r="D843" t="s">
        <v>20</v>
      </c>
      <c r="E843" t="s">
        <v>55</v>
      </c>
      <c r="F843">
        <v>28</v>
      </c>
      <c r="G843" t="s">
        <v>13</v>
      </c>
      <c r="H843" s="2">
        <v>46186</v>
      </c>
      <c r="I843" s="2">
        <v>46186</v>
      </c>
    </row>
    <row r="844" spans="1:9" x14ac:dyDescent="0.35">
      <c r="A844" t="s">
        <v>870</v>
      </c>
      <c r="B844" s="2">
        <v>46138</v>
      </c>
      <c r="C844" t="s">
        <v>10</v>
      </c>
      <c r="D844" t="s">
        <v>11</v>
      </c>
      <c r="E844" t="s">
        <v>46</v>
      </c>
      <c r="F844">
        <v>8</v>
      </c>
      <c r="G844" t="s">
        <v>13</v>
      </c>
      <c r="H844" s="2">
        <v>46140</v>
      </c>
      <c r="I844" s="2">
        <v>46139</v>
      </c>
    </row>
    <row r="845" spans="1:9" x14ac:dyDescent="0.35">
      <c r="A845" t="s">
        <v>871</v>
      </c>
      <c r="B845" s="2">
        <v>46159</v>
      </c>
      <c r="C845" t="s">
        <v>19</v>
      </c>
      <c r="D845" t="s">
        <v>20</v>
      </c>
      <c r="E845" t="s">
        <v>12</v>
      </c>
      <c r="F845">
        <v>22</v>
      </c>
      <c r="G845" t="s">
        <v>13</v>
      </c>
      <c r="H845" s="2">
        <v>46163</v>
      </c>
      <c r="I845" s="2">
        <v>46163</v>
      </c>
    </row>
    <row r="846" spans="1:9" x14ac:dyDescent="0.35">
      <c r="A846" t="s">
        <v>872</v>
      </c>
      <c r="B846" s="2">
        <v>46198</v>
      </c>
      <c r="C846" t="s">
        <v>19</v>
      </c>
      <c r="D846" t="s">
        <v>20</v>
      </c>
      <c r="E846" t="s">
        <v>22</v>
      </c>
      <c r="F846">
        <v>22</v>
      </c>
      <c r="G846" t="s">
        <v>13</v>
      </c>
      <c r="H846" s="2">
        <v>46199</v>
      </c>
      <c r="I846" s="2">
        <v>46198</v>
      </c>
    </row>
    <row r="847" spans="1:9" x14ac:dyDescent="0.35">
      <c r="A847" t="s">
        <v>873</v>
      </c>
      <c r="B847" s="2">
        <v>46168</v>
      </c>
      <c r="C847" t="s">
        <v>15</v>
      </c>
      <c r="D847" t="s">
        <v>16</v>
      </c>
      <c r="E847" t="s">
        <v>22</v>
      </c>
      <c r="F847">
        <v>1</v>
      </c>
      <c r="G847" t="s">
        <v>13</v>
      </c>
      <c r="H847" s="2">
        <v>46170</v>
      </c>
      <c r="I847" s="2">
        <v>46169</v>
      </c>
    </row>
    <row r="848" spans="1:9" x14ac:dyDescent="0.35">
      <c r="A848" t="s">
        <v>874</v>
      </c>
      <c r="B848" s="2">
        <v>46175</v>
      </c>
      <c r="C848" t="s">
        <v>34</v>
      </c>
      <c r="D848" t="s">
        <v>35</v>
      </c>
      <c r="E848" t="s">
        <v>24</v>
      </c>
      <c r="F848">
        <v>4</v>
      </c>
      <c r="G848" t="s">
        <v>13</v>
      </c>
      <c r="H848" s="2">
        <v>46178</v>
      </c>
      <c r="I848" s="2">
        <v>46177</v>
      </c>
    </row>
    <row r="849" spans="1:9" x14ac:dyDescent="0.35">
      <c r="A849" t="s">
        <v>875</v>
      </c>
      <c r="B849" s="2">
        <v>46160</v>
      </c>
      <c r="C849" t="s">
        <v>15</v>
      </c>
      <c r="D849" t="s">
        <v>16</v>
      </c>
      <c r="E849" t="s">
        <v>32</v>
      </c>
      <c r="F849">
        <v>21</v>
      </c>
      <c r="G849" t="s">
        <v>13</v>
      </c>
      <c r="H849" s="2">
        <v>46163</v>
      </c>
      <c r="I849" s="2">
        <v>46163</v>
      </c>
    </row>
    <row r="850" spans="1:9" x14ac:dyDescent="0.35">
      <c r="A850" t="s">
        <v>876</v>
      </c>
      <c r="B850" s="2">
        <v>46173</v>
      </c>
      <c r="C850" t="s">
        <v>15</v>
      </c>
      <c r="D850" t="s">
        <v>16</v>
      </c>
      <c r="E850" t="s">
        <v>17</v>
      </c>
      <c r="F850">
        <v>28</v>
      </c>
      <c r="G850" t="s">
        <v>13</v>
      </c>
      <c r="H850" s="2">
        <v>46174</v>
      </c>
      <c r="I850" s="2">
        <v>46174</v>
      </c>
    </row>
    <row r="851" spans="1:9" x14ac:dyDescent="0.35">
      <c r="A851" t="s">
        <v>877</v>
      </c>
      <c r="B851" s="2">
        <v>46193</v>
      </c>
      <c r="C851" t="s">
        <v>19</v>
      </c>
      <c r="D851" t="s">
        <v>20</v>
      </c>
      <c r="E851" t="s">
        <v>46</v>
      </c>
      <c r="F851">
        <v>11</v>
      </c>
      <c r="G851" t="s">
        <v>13</v>
      </c>
      <c r="H851" s="2">
        <v>46196</v>
      </c>
      <c r="I851" s="2">
        <v>46195</v>
      </c>
    </row>
    <row r="852" spans="1:9" x14ac:dyDescent="0.35">
      <c r="A852" t="s">
        <v>878</v>
      </c>
      <c r="B852" s="2">
        <v>46138</v>
      </c>
      <c r="C852" t="s">
        <v>34</v>
      </c>
      <c r="D852" t="s">
        <v>35</v>
      </c>
      <c r="E852" t="s">
        <v>43</v>
      </c>
      <c r="F852">
        <v>3</v>
      </c>
      <c r="G852" t="s">
        <v>13</v>
      </c>
      <c r="H852" s="2">
        <v>46142</v>
      </c>
      <c r="I852" s="2">
        <v>46142</v>
      </c>
    </row>
    <row r="853" spans="1:9" x14ac:dyDescent="0.35">
      <c r="A853" t="s">
        <v>879</v>
      </c>
      <c r="B853" s="2">
        <v>46148</v>
      </c>
      <c r="C853" t="s">
        <v>34</v>
      </c>
      <c r="D853" t="s">
        <v>35</v>
      </c>
      <c r="E853" t="s">
        <v>55</v>
      </c>
      <c r="F853">
        <v>13</v>
      </c>
      <c r="G853" t="s">
        <v>13</v>
      </c>
      <c r="H853" s="2">
        <v>46151</v>
      </c>
      <c r="I853" s="2">
        <v>46150</v>
      </c>
    </row>
    <row r="854" spans="1:9" x14ac:dyDescent="0.35">
      <c r="A854" t="s">
        <v>880</v>
      </c>
      <c r="B854" s="2">
        <v>46113</v>
      </c>
      <c r="C854" t="s">
        <v>15</v>
      </c>
      <c r="D854" t="s">
        <v>16</v>
      </c>
      <c r="E854" t="s">
        <v>22</v>
      </c>
      <c r="F854">
        <v>25</v>
      </c>
      <c r="G854" t="s">
        <v>62</v>
      </c>
      <c r="H854" s="2">
        <v>46116</v>
      </c>
      <c r="I854" s="2">
        <v>46119</v>
      </c>
    </row>
    <row r="855" spans="1:9" x14ac:dyDescent="0.35">
      <c r="A855" t="s">
        <v>881</v>
      </c>
      <c r="B855" s="2">
        <v>46120</v>
      </c>
      <c r="C855" t="s">
        <v>34</v>
      </c>
      <c r="D855" t="s">
        <v>35</v>
      </c>
      <c r="E855" t="s">
        <v>22</v>
      </c>
      <c r="F855">
        <v>17</v>
      </c>
      <c r="G855" t="s">
        <v>13</v>
      </c>
      <c r="H855" s="2">
        <v>46124</v>
      </c>
      <c r="I855" s="2">
        <v>46123</v>
      </c>
    </row>
    <row r="856" spans="1:9" x14ac:dyDescent="0.35">
      <c r="A856" t="s">
        <v>882</v>
      </c>
      <c r="B856" s="2">
        <v>46164</v>
      </c>
      <c r="C856" t="s">
        <v>15</v>
      </c>
      <c r="D856" t="s">
        <v>16</v>
      </c>
      <c r="E856" t="s">
        <v>43</v>
      </c>
      <c r="F856">
        <v>22</v>
      </c>
      <c r="G856" t="s">
        <v>26</v>
      </c>
      <c r="H856" s="2">
        <v>46165</v>
      </c>
    </row>
    <row r="857" spans="1:9" x14ac:dyDescent="0.35">
      <c r="A857" t="s">
        <v>883</v>
      </c>
      <c r="B857" s="2">
        <v>46191</v>
      </c>
      <c r="C857" t="s">
        <v>15</v>
      </c>
      <c r="D857" t="s">
        <v>16</v>
      </c>
      <c r="E857" t="s">
        <v>46</v>
      </c>
      <c r="F857">
        <v>22</v>
      </c>
      <c r="G857" t="s">
        <v>13</v>
      </c>
      <c r="H857" s="2">
        <v>46192</v>
      </c>
      <c r="I857" s="2">
        <v>46192</v>
      </c>
    </row>
    <row r="858" spans="1:9" x14ac:dyDescent="0.35">
      <c r="A858" t="s">
        <v>884</v>
      </c>
      <c r="B858" s="2">
        <v>46159</v>
      </c>
      <c r="C858" t="s">
        <v>10</v>
      </c>
      <c r="D858" t="s">
        <v>11</v>
      </c>
      <c r="E858" t="s">
        <v>17</v>
      </c>
      <c r="F858">
        <v>10</v>
      </c>
      <c r="G858" t="s">
        <v>13</v>
      </c>
      <c r="H858" s="2">
        <v>46163</v>
      </c>
      <c r="I858" s="2">
        <v>46162</v>
      </c>
    </row>
    <row r="859" spans="1:9" x14ac:dyDescent="0.35">
      <c r="A859" t="s">
        <v>885</v>
      </c>
      <c r="B859" s="2">
        <v>46168</v>
      </c>
      <c r="C859" t="s">
        <v>15</v>
      </c>
      <c r="D859" t="s">
        <v>16</v>
      </c>
      <c r="E859" t="s">
        <v>32</v>
      </c>
      <c r="F859">
        <v>21</v>
      </c>
      <c r="G859" t="s">
        <v>13</v>
      </c>
      <c r="H859" s="2">
        <v>46172</v>
      </c>
      <c r="I859" s="2">
        <v>46171</v>
      </c>
    </row>
    <row r="860" spans="1:9" x14ac:dyDescent="0.35">
      <c r="A860" t="s">
        <v>886</v>
      </c>
      <c r="B860" s="2">
        <v>46198</v>
      </c>
      <c r="C860" t="s">
        <v>10</v>
      </c>
      <c r="D860" t="s">
        <v>11</v>
      </c>
      <c r="E860" t="s">
        <v>22</v>
      </c>
      <c r="F860">
        <v>12</v>
      </c>
      <c r="G860" t="s">
        <v>13</v>
      </c>
      <c r="H860" s="2">
        <v>46202</v>
      </c>
      <c r="I860" s="2">
        <v>46201</v>
      </c>
    </row>
    <row r="861" spans="1:9" x14ac:dyDescent="0.35">
      <c r="A861" t="s">
        <v>887</v>
      </c>
      <c r="B861" s="2">
        <v>46126</v>
      </c>
      <c r="C861" t="s">
        <v>15</v>
      </c>
      <c r="D861" t="s">
        <v>16</v>
      </c>
      <c r="E861" t="s">
        <v>17</v>
      </c>
      <c r="F861">
        <v>15</v>
      </c>
      <c r="G861" t="s">
        <v>13</v>
      </c>
      <c r="H861" s="2">
        <v>46129</v>
      </c>
      <c r="I861" s="2">
        <v>46128</v>
      </c>
    </row>
    <row r="862" spans="1:9" x14ac:dyDescent="0.35">
      <c r="A862" t="s">
        <v>888</v>
      </c>
      <c r="B862" s="2">
        <v>46202</v>
      </c>
      <c r="C862" t="s">
        <v>15</v>
      </c>
      <c r="D862" t="s">
        <v>16</v>
      </c>
      <c r="E862" t="s">
        <v>46</v>
      </c>
      <c r="F862">
        <v>21</v>
      </c>
      <c r="G862" t="s">
        <v>13</v>
      </c>
      <c r="H862" s="2">
        <v>46206</v>
      </c>
      <c r="I862" s="2">
        <v>46206</v>
      </c>
    </row>
    <row r="863" spans="1:9" x14ac:dyDescent="0.35">
      <c r="A863" t="s">
        <v>889</v>
      </c>
      <c r="B863" s="2">
        <v>46140</v>
      </c>
      <c r="C863" t="s">
        <v>15</v>
      </c>
      <c r="D863" t="s">
        <v>16</v>
      </c>
      <c r="E863" t="s">
        <v>43</v>
      </c>
      <c r="F863">
        <v>10</v>
      </c>
      <c r="G863" t="s">
        <v>13</v>
      </c>
      <c r="H863" s="2">
        <v>46142</v>
      </c>
      <c r="I863" s="2">
        <v>46141</v>
      </c>
    </row>
    <row r="864" spans="1:9" x14ac:dyDescent="0.35">
      <c r="A864" t="s">
        <v>890</v>
      </c>
      <c r="B864" s="2">
        <v>46199</v>
      </c>
      <c r="C864" t="s">
        <v>10</v>
      </c>
      <c r="D864" t="s">
        <v>11</v>
      </c>
      <c r="E864" t="s">
        <v>24</v>
      </c>
      <c r="F864">
        <v>14</v>
      </c>
      <c r="G864" t="s">
        <v>62</v>
      </c>
      <c r="H864" s="2">
        <v>46202</v>
      </c>
      <c r="I864" s="2">
        <v>46205</v>
      </c>
    </row>
    <row r="865" spans="1:9" x14ac:dyDescent="0.35">
      <c r="A865" t="s">
        <v>891</v>
      </c>
      <c r="B865" s="2">
        <v>46190</v>
      </c>
      <c r="C865" t="s">
        <v>10</v>
      </c>
      <c r="D865" t="s">
        <v>11</v>
      </c>
      <c r="E865" t="s">
        <v>32</v>
      </c>
      <c r="F865">
        <v>13</v>
      </c>
      <c r="G865" t="s">
        <v>13</v>
      </c>
      <c r="H865" s="2">
        <v>46191</v>
      </c>
      <c r="I865" s="2">
        <v>46191</v>
      </c>
    </row>
    <row r="866" spans="1:9" x14ac:dyDescent="0.35">
      <c r="A866" t="s">
        <v>892</v>
      </c>
      <c r="B866" s="2">
        <v>46200</v>
      </c>
      <c r="C866" t="s">
        <v>34</v>
      </c>
      <c r="D866" t="s">
        <v>35</v>
      </c>
      <c r="E866" t="s">
        <v>55</v>
      </c>
      <c r="F866">
        <v>5</v>
      </c>
      <c r="G866" t="s">
        <v>13</v>
      </c>
      <c r="H866" s="2">
        <v>46201</v>
      </c>
      <c r="I866" s="2">
        <v>46200</v>
      </c>
    </row>
    <row r="867" spans="1:9" x14ac:dyDescent="0.35">
      <c r="A867" t="s">
        <v>893</v>
      </c>
      <c r="B867" s="2">
        <v>46114</v>
      </c>
      <c r="C867" t="s">
        <v>34</v>
      </c>
      <c r="D867" t="s">
        <v>35</v>
      </c>
      <c r="E867" t="s">
        <v>22</v>
      </c>
      <c r="F867">
        <v>6</v>
      </c>
      <c r="G867" t="s">
        <v>13</v>
      </c>
      <c r="H867" s="2">
        <v>46115</v>
      </c>
      <c r="I867" s="2">
        <v>46115</v>
      </c>
    </row>
    <row r="868" spans="1:9" x14ac:dyDescent="0.35">
      <c r="A868" t="s">
        <v>894</v>
      </c>
      <c r="B868" s="2">
        <v>46138</v>
      </c>
      <c r="C868" t="s">
        <v>10</v>
      </c>
      <c r="D868" t="s">
        <v>11</v>
      </c>
      <c r="E868" t="s">
        <v>46</v>
      </c>
      <c r="F868">
        <v>24</v>
      </c>
      <c r="G868" t="s">
        <v>13</v>
      </c>
      <c r="H868" s="2">
        <v>46141</v>
      </c>
      <c r="I868" s="2">
        <v>46141</v>
      </c>
    </row>
    <row r="869" spans="1:9" x14ac:dyDescent="0.35">
      <c r="A869" t="s">
        <v>895</v>
      </c>
      <c r="B869" s="2">
        <v>46126</v>
      </c>
      <c r="C869" t="s">
        <v>15</v>
      </c>
      <c r="D869" t="s">
        <v>16</v>
      </c>
      <c r="E869" t="s">
        <v>24</v>
      </c>
      <c r="F869">
        <v>2</v>
      </c>
      <c r="G869" t="s">
        <v>13</v>
      </c>
      <c r="H869" s="2">
        <v>46128</v>
      </c>
      <c r="I869" s="2">
        <v>46128</v>
      </c>
    </row>
    <row r="870" spans="1:9" x14ac:dyDescent="0.35">
      <c r="A870" t="s">
        <v>896</v>
      </c>
      <c r="B870" s="2">
        <v>46171</v>
      </c>
      <c r="C870" t="s">
        <v>34</v>
      </c>
      <c r="D870" t="s">
        <v>35</v>
      </c>
      <c r="E870" t="s">
        <v>55</v>
      </c>
      <c r="F870">
        <v>22</v>
      </c>
      <c r="G870" t="s">
        <v>13</v>
      </c>
      <c r="H870" s="2">
        <v>46175</v>
      </c>
      <c r="I870" s="2">
        <v>46174</v>
      </c>
    </row>
    <row r="871" spans="1:9" x14ac:dyDescent="0.35">
      <c r="A871" t="s">
        <v>897</v>
      </c>
      <c r="B871" s="2">
        <v>46168</v>
      </c>
      <c r="C871" t="s">
        <v>19</v>
      </c>
      <c r="D871" t="s">
        <v>20</v>
      </c>
      <c r="E871" t="s">
        <v>12</v>
      </c>
      <c r="F871">
        <v>17</v>
      </c>
      <c r="G871" t="s">
        <v>62</v>
      </c>
      <c r="H871" s="2">
        <v>46172</v>
      </c>
      <c r="I871" s="2">
        <v>46173</v>
      </c>
    </row>
    <row r="872" spans="1:9" x14ac:dyDescent="0.35">
      <c r="A872" t="s">
        <v>898</v>
      </c>
      <c r="B872" s="2">
        <v>46119</v>
      </c>
      <c r="C872" t="s">
        <v>10</v>
      </c>
      <c r="D872" t="s">
        <v>11</v>
      </c>
      <c r="E872" t="s">
        <v>46</v>
      </c>
      <c r="F872">
        <v>4</v>
      </c>
      <c r="G872" t="s">
        <v>26</v>
      </c>
      <c r="H872" s="2">
        <v>46120</v>
      </c>
    </row>
    <row r="873" spans="1:9" x14ac:dyDescent="0.35">
      <c r="A873" t="s">
        <v>899</v>
      </c>
      <c r="B873" s="2">
        <v>46115</v>
      </c>
      <c r="C873" t="s">
        <v>34</v>
      </c>
      <c r="D873" t="s">
        <v>35</v>
      </c>
      <c r="E873" t="s">
        <v>46</v>
      </c>
      <c r="F873">
        <v>14</v>
      </c>
      <c r="G873" t="s">
        <v>13</v>
      </c>
      <c r="H873" s="2">
        <v>46116</v>
      </c>
      <c r="I873" s="2">
        <v>46116</v>
      </c>
    </row>
    <row r="874" spans="1:9" x14ac:dyDescent="0.35">
      <c r="A874" t="s">
        <v>900</v>
      </c>
      <c r="B874" s="2">
        <v>46135</v>
      </c>
      <c r="C874" t="s">
        <v>19</v>
      </c>
      <c r="D874" t="s">
        <v>20</v>
      </c>
      <c r="E874" t="s">
        <v>55</v>
      </c>
      <c r="F874">
        <v>10</v>
      </c>
      <c r="G874" t="s">
        <v>13</v>
      </c>
      <c r="H874" s="2">
        <v>46138</v>
      </c>
      <c r="I874" s="2">
        <v>46137</v>
      </c>
    </row>
    <row r="875" spans="1:9" x14ac:dyDescent="0.35">
      <c r="A875" t="s">
        <v>901</v>
      </c>
      <c r="B875" s="2">
        <v>46130</v>
      </c>
      <c r="C875" t="s">
        <v>19</v>
      </c>
      <c r="D875" t="s">
        <v>20</v>
      </c>
      <c r="E875" t="s">
        <v>24</v>
      </c>
      <c r="F875">
        <v>3</v>
      </c>
      <c r="G875" t="s">
        <v>62</v>
      </c>
      <c r="H875" s="2">
        <v>46132</v>
      </c>
      <c r="I875" s="2">
        <v>46136</v>
      </c>
    </row>
    <row r="876" spans="1:9" x14ac:dyDescent="0.35">
      <c r="A876" t="s">
        <v>902</v>
      </c>
      <c r="B876" s="2">
        <v>46150</v>
      </c>
      <c r="C876" t="s">
        <v>15</v>
      </c>
      <c r="D876" t="s">
        <v>16</v>
      </c>
      <c r="E876" t="s">
        <v>12</v>
      </c>
      <c r="F876">
        <v>25</v>
      </c>
      <c r="G876" t="s">
        <v>13</v>
      </c>
      <c r="H876" s="2">
        <v>46154</v>
      </c>
      <c r="I876" s="2">
        <v>46154</v>
      </c>
    </row>
    <row r="877" spans="1:9" x14ac:dyDescent="0.35">
      <c r="A877" t="s">
        <v>903</v>
      </c>
      <c r="B877" s="2">
        <v>46127</v>
      </c>
      <c r="C877" t="s">
        <v>10</v>
      </c>
      <c r="D877" t="s">
        <v>11</v>
      </c>
      <c r="E877" t="s">
        <v>17</v>
      </c>
      <c r="F877">
        <v>3</v>
      </c>
      <c r="G877" t="s">
        <v>13</v>
      </c>
      <c r="H877" s="2">
        <v>46130</v>
      </c>
      <c r="I877" s="2">
        <v>46129</v>
      </c>
    </row>
    <row r="878" spans="1:9" x14ac:dyDescent="0.35">
      <c r="A878" t="s">
        <v>904</v>
      </c>
      <c r="B878" s="2">
        <v>46176</v>
      </c>
      <c r="C878" t="s">
        <v>10</v>
      </c>
      <c r="D878" t="s">
        <v>11</v>
      </c>
      <c r="E878" t="s">
        <v>17</v>
      </c>
      <c r="F878">
        <v>15</v>
      </c>
      <c r="G878" t="s">
        <v>13</v>
      </c>
      <c r="H878" s="2">
        <v>46180</v>
      </c>
      <c r="I878" s="2">
        <v>46180</v>
      </c>
    </row>
    <row r="879" spans="1:9" x14ac:dyDescent="0.35">
      <c r="A879" t="s">
        <v>905</v>
      </c>
      <c r="B879" s="2">
        <v>46201</v>
      </c>
      <c r="C879" t="s">
        <v>34</v>
      </c>
      <c r="D879" t="s">
        <v>35</v>
      </c>
      <c r="E879" t="s">
        <v>43</v>
      </c>
      <c r="F879">
        <v>6</v>
      </c>
      <c r="G879" t="s">
        <v>13</v>
      </c>
      <c r="H879" s="2">
        <v>46202</v>
      </c>
      <c r="I879" s="2">
        <v>46202</v>
      </c>
    </row>
    <row r="880" spans="1:9" x14ac:dyDescent="0.35">
      <c r="A880" t="s">
        <v>906</v>
      </c>
      <c r="B880" s="2">
        <v>46140</v>
      </c>
      <c r="C880" t="s">
        <v>34</v>
      </c>
      <c r="D880" t="s">
        <v>35</v>
      </c>
      <c r="E880" t="s">
        <v>24</v>
      </c>
      <c r="F880">
        <v>17</v>
      </c>
      <c r="G880" t="s">
        <v>13</v>
      </c>
      <c r="H880" s="2">
        <v>46144</v>
      </c>
      <c r="I880" s="2">
        <v>46144</v>
      </c>
    </row>
    <row r="881" spans="1:9" x14ac:dyDescent="0.35">
      <c r="A881" t="s">
        <v>907</v>
      </c>
      <c r="B881" s="2">
        <v>46186</v>
      </c>
      <c r="C881" t="s">
        <v>34</v>
      </c>
      <c r="D881" t="s">
        <v>35</v>
      </c>
      <c r="E881" t="s">
        <v>32</v>
      </c>
      <c r="F881">
        <v>12</v>
      </c>
      <c r="G881" t="s">
        <v>13</v>
      </c>
      <c r="H881" s="2">
        <v>46188</v>
      </c>
      <c r="I881" s="2">
        <v>46187</v>
      </c>
    </row>
    <row r="882" spans="1:9" x14ac:dyDescent="0.35">
      <c r="A882" t="s">
        <v>908</v>
      </c>
      <c r="B882" s="2">
        <v>46151</v>
      </c>
      <c r="C882" t="s">
        <v>10</v>
      </c>
      <c r="D882" t="s">
        <v>11</v>
      </c>
      <c r="E882" t="s">
        <v>22</v>
      </c>
      <c r="F882">
        <v>22</v>
      </c>
      <c r="G882" t="s">
        <v>13</v>
      </c>
      <c r="H882" s="2">
        <v>46153</v>
      </c>
      <c r="I882" s="2">
        <v>46153</v>
      </c>
    </row>
    <row r="883" spans="1:9" x14ac:dyDescent="0.35">
      <c r="A883" t="s">
        <v>909</v>
      </c>
      <c r="B883" s="2">
        <v>46169</v>
      </c>
      <c r="C883" t="s">
        <v>34</v>
      </c>
      <c r="D883" t="s">
        <v>35</v>
      </c>
      <c r="E883" t="s">
        <v>55</v>
      </c>
      <c r="F883">
        <v>20</v>
      </c>
      <c r="G883" t="s">
        <v>13</v>
      </c>
      <c r="H883" s="2">
        <v>46170</v>
      </c>
      <c r="I883" s="2">
        <v>46169</v>
      </c>
    </row>
    <row r="884" spans="1:9" x14ac:dyDescent="0.35">
      <c r="A884" t="s">
        <v>910</v>
      </c>
      <c r="B884" s="2">
        <v>46129</v>
      </c>
      <c r="C884" t="s">
        <v>19</v>
      </c>
      <c r="D884" t="s">
        <v>20</v>
      </c>
      <c r="E884" t="s">
        <v>43</v>
      </c>
      <c r="F884">
        <v>24</v>
      </c>
      <c r="G884" t="s">
        <v>26</v>
      </c>
      <c r="H884" s="2">
        <v>46131</v>
      </c>
    </row>
    <row r="885" spans="1:9" x14ac:dyDescent="0.35">
      <c r="A885" t="s">
        <v>911</v>
      </c>
      <c r="B885" s="2">
        <v>46198</v>
      </c>
      <c r="C885" t="s">
        <v>10</v>
      </c>
      <c r="D885" t="s">
        <v>11</v>
      </c>
      <c r="E885" t="s">
        <v>12</v>
      </c>
      <c r="F885">
        <v>29</v>
      </c>
      <c r="G885" t="s">
        <v>13</v>
      </c>
      <c r="H885" s="2">
        <v>46200</v>
      </c>
      <c r="I885" s="2">
        <v>46199</v>
      </c>
    </row>
    <row r="886" spans="1:9" x14ac:dyDescent="0.35">
      <c r="A886" t="s">
        <v>912</v>
      </c>
      <c r="B886" s="2">
        <v>46202</v>
      </c>
      <c r="C886" t="s">
        <v>15</v>
      </c>
      <c r="D886" t="s">
        <v>16</v>
      </c>
      <c r="E886" t="s">
        <v>55</v>
      </c>
      <c r="F886">
        <v>11</v>
      </c>
      <c r="G886" t="s">
        <v>13</v>
      </c>
      <c r="H886" s="2">
        <v>46205</v>
      </c>
      <c r="I886" s="2">
        <v>46205</v>
      </c>
    </row>
    <row r="887" spans="1:9" x14ac:dyDescent="0.35">
      <c r="A887" t="s">
        <v>913</v>
      </c>
      <c r="B887" s="2">
        <v>46156</v>
      </c>
      <c r="C887" t="s">
        <v>10</v>
      </c>
      <c r="D887" t="s">
        <v>11</v>
      </c>
      <c r="E887" t="s">
        <v>55</v>
      </c>
      <c r="F887">
        <v>25</v>
      </c>
      <c r="G887" t="s">
        <v>13</v>
      </c>
      <c r="H887" s="2">
        <v>46160</v>
      </c>
      <c r="I887" s="2">
        <v>46159</v>
      </c>
    </row>
    <row r="888" spans="1:9" x14ac:dyDescent="0.35">
      <c r="A888" t="s">
        <v>914</v>
      </c>
      <c r="B888" s="2">
        <v>46137</v>
      </c>
      <c r="C888" t="s">
        <v>15</v>
      </c>
      <c r="D888" t="s">
        <v>16</v>
      </c>
      <c r="E888" t="s">
        <v>24</v>
      </c>
      <c r="F888">
        <v>4</v>
      </c>
      <c r="G888" t="s">
        <v>13</v>
      </c>
      <c r="H888" s="2">
        <v>46138</v>
      </c>
      <c r="I888" s="2">
        <v>46137</v>
      </c>
    </row>
    <row r="889" spans="1:9" x14ac:dyDescent="0.35">
      <c r="A889" t="s">
        <v>915</v>
      </c>
      <c r="B889" s="2">
        <v>46129</v>
      </c>
      <c r="C889" t="s">
        <v>10</v>
      </c>
      <c r="D889" t="s">
        <v>11</v>
      </c>
      <c r="E889" t="s">
        <v>22</v>
      </c>
      <c r="F889">
        <v>26</v>
      </c>
      <c r="G889" t="s">
        <v>13</v>
      </c>
      <c r="H889" s="2">
        <v>46130</v>
      </c>
      <c r="I889" s="2">
        <v>46129</v>
      </c>
    </row>
    <row r="890" spans="1:9" x14ac:dyDescent="0.35">
      <c r="A890" t="s">
        <v>916</v>
      </c>
      <c r="B890" s="2">
        <v>46125</v>
      </c>
      <c r="C890" t="s">
        <v>10</v>
      </c>
      <c r="D890" t="s">
        <v>11</v>
      </c>
      <c r="E890" t="s">
        <v>32</v>
      </c>
      <c r="F890">
        <v>28</v>
      </c>
      <c r="G890" t="s">
        <v>13</v>
      </c>
      <c r="H890" s="2">
        <v>46126</v>
      </c>
      <c r="I890" s="2">
        <v>46125</v>
      </c>
    </row>
    <row r="891" spans="1:9" x14ac:dyDescent="0.35">
      <c r="A891" t="s">
        <v>917</v>
      </c>
      <c r="B891" s="2">
        <v>46196</v>
      </c>
      <c r="C891" t="s">
        <v>15</v>
      </c>
      <c r="D891" t="s">
        <v>16</v>
      </c>
      <c r="E891" t="s">
        <v>17</v>
      </c>
      <c r="F891">
        <v>26</v>
      </c>
      <c r="G891" t="s">
        <v>26</v>
      </c>
      <c r="H891" s="2">
        <v>46197</v>
      </c>
    </row>
    <row r="892" spans="1:9" x14ac:dyDescent="0.35">
      <c r="A892" t="s">
        <v>918</v>
      </c>
      <c r="B892" s="2">
        <v>46137</v>
      </c>
      <c r="C892" t="s">
        <v>34</v>
      </c>
      <c r="D892" t="s">
        <v>35</v>
      </c>
      <c r="E892" t="s">
        <v>46</v>
      </c>
      <c r="F892">
        <v>6</v>
      </c>
      <c r="G892" t="s">
        <v>62</v>
      </c>
      <c r="H892" s="2">
        <v>46138</v>
      </c>
      <c r="I892" s="2">
        <v>46142</v>
      </c>
    </row>
    <row r="893" spans="1:9" x14ac:dyDescent="0.35">
      <c r="A893" t="s">
        <v>919</v>
      </c>
      <c r="B893" s="2">
        <v>46180</v>
      </c>
      <c r="C893" t="s">
        <v>15</v>
      </c>
      <c r="D893" t="s">
        <v>16</v>
      </c>
      <c r="E893" t="s">
        <v>46</v>
      </c>
      <c r="F893">
        <v>1</v>
      </c>
      <c r="G893" t="s">
        <v>13</v>
      </c>
      <c r="H893" s="2">
        <v>46182</v>
      </c>
      <c r="I893" s="2">
        <v>46182</v>
      </c>
    </row>
    <row r="894" spans="1:9" x14ac:dyDescent="0.35">
      <c r="A894" t="s">
        <v>920</v>
      </c>
      <c r="B894" s="2">
        <v>46122</v>
      </c>
      <c r="C894" t="s">
        <v>15</v>
      </c>
      <c r="D894" t="s">
        <v>16</v>
      </c>
      <c r="E894" t="s">
        <v>55</v>
      </c>
      <c r="F894">
        <v>20</v>
      </c>
      <c r="G894" t="s">
        <v>13</v>
      </c>
      <c r="H894" s="2">
        <v>46125</v>
      </c>
      <c r="I894" s="2">
        <v>46124</v>
      </c>
    </row>
    <row r="895" spans="1:9" x14ac:dyDescent="0.35">
      <c r="A895" t="s">
        <v>921</v>
      </c>
      <c r="B895" s="2">
        <v>46179</v>
      </c>
      <c r="C895" t="s">
        <v>34</v>
      </c>
      <c r="D895" t="s">
        <v>35</v>
      </c>
      <c r="E895" t="s">
        <v>17</v>
      </c>
      <c r="F895">
        <v>23</v>
      </c>
      <c r="G895" t="s">
        <v>13</v>
      </c>
      <c r="H895" s="2">
        <v>46180</v>
      </c>
      <c r="I895" s="2">
        <v>46180</v>
      </c>
    </row>
    <row r="896" spans="1:9" x14ac:dyDescent="0.35">
      <c r="A896" t="s">
        <v>922</v>
      </c>
      <c r="B896" s="2">
        <v>46130</v>
      </c>
      <c r="C896" t="s">
        <v>34</v>
      </c>
      <c r="D896" t="s">
        <v>35</v>
      </c>
      <c r="E896" t="s">
        <v>17</v>
      </c>
      <c r="F896">
        <v>28</v>
      </c>
      <c r="G896" t="s">
        <v>26</v>
      </c>
      <c r="H896" s="2">
        <v>46133</v>
      </c>
    </row>
    <row r="897" spans="1:9" x14ac:dyDescent="0.35">
      <c r="A897" t="s">
        <v>923</v>
      </c>
      <c r="B897" s="2">
        <v>46198</v>
      </c>
      <c r="C897" t="s">
        <v>19</v>
      </c>
      <c r="D897" t="s">
        <v>20</v>
      </c>
      <c r="E897" t="s">
        <v>22</v>
      </c>
      <c r="F897">
        <v>16</v>
      </c>
      <c r="G897" t="s">
        <v>26</v>
      </c>
      <c r="H897" s="2">
        <v>46201</v>
      </c>
    </row>
    <row r="898" spans="1:9" x14ac:dyDescent="0.35">
      <c r="A898" t="s">
        <v>924</v>
      </c>
      <c r="B898" s="2">
        <v>46146</v>
      </c>
      <c r="C898" t="s">
        <v>34</v>
      </c>
      <c r="D898" t="s">
        <v>35</v>
      </c>
      <c r="E898" t="s">
        <v>12</v>
      </c>
      <c r="F898">
        <v>15</v>
      </c>
      <c r="G898" t="s">
        <v>13</v>
      </c>
      <c r="H898" s="2">
        <v>46148</v>
      </c>
      <c r="I898" s="2">
        <v>46148</v>
      </c>
    </row>
    <row r="899" spans="1:9" x14ac:dyDescent="0.35">
      <c r="A899" t="s">
        <v>925</v>
      </c>
      <c r="B899" s="2">
        <v>46120</v>
      </c>
      <c r="C899" t="s">
        <v>34</v>
      </c>
      <c r="D899" t="s">
        <v>35</v>
      </c>
      <c r="E899" t="s">
        <v>12</v>
      </c>
      <c r="F899">
        <v>17</v>
      </c>
      <c r="G899" t="s">
        <v>13</v>
      </c>
      <c r="H899" s="2">
        <v>46121</v>
      </c>
      <c r="I899" s="2">
        <v>46121</v>
      </c>
    </row>
    <row r="900" spans="1:9" x14ac:dyDescent="0.35">
      <c r="A900" t="s">
        <v>926</v>
      </c>
      <c r="B900" s="2">
        <v>46152</v>
      </c>
      <c r="C900" t="s">
        <v>10</v>
      </c>
      <c r="D900" t="s">
        <v>11</v>
      </c>
      <c r="E900" t="s">
        <v>43</v>
      </c>
      <c r="F900">
        <v>8</v>
      </c>
      <c r="G900" t="s">
        <v>13</v>
      </c>
      <c r="H900" s="2">
        <v>46154</v>
      </c>
      <c r="I900" s="2">
        <v>46154</v>
      </c>
    </row>
    <row r="901" spans="1:9" x14ac:dyDescent="0.35">
      <c r="A901" t="s">
        <v>927</v>
      </c>
      <c r="B901" s="2">
        <v>46195</v>
      </c>
      <c r="C901" t="s">
        <v>15</v>
      </c>
      <c r="D901" t="s">
        <v>16</v>
      </c>
      <c r="E901" t="s">
        <v>24</v>
      </c>
      <c r="F901">
        <v>28</v>
      </c>
      <c r="G901" t="s">
        <v>13</v>
      </c>
      <c r="H901" s="2">
        <v>46196</v>
      </c>
      <c r="I901" s="2">
        <v>46196</v>
      </c>
    </row>
    <row r="902" spans="1:9" x14ac:dyDescent="0.35">
      <c r="A902" t="s">
        <v>928</v>
      </c>
      <c r="B902" s="2">
        <v>46154</v>
      </c>
      <c r="C902" t="s">
        <v>19</v>
      </c>
      <c r="D902" t="s">
        <v>20</v>
      </c>
      <c r="E902" t="s">
        <v>22</v>
      </c>
      <c r="F902">
        <v>26</v>
      </c>
      <c r="G902" t="s">
        <v>13</v>
      </c>
      <c r="H902" s="2">
        <v>46156</v>
      </c>
      <c r="I902" s="2">
        <v>46156</v>
      </c>
    </row>
    <row r="903" spans="1:9" x14ac:dyDescent="0.35">
      <c r="A903" t="s">
        <v>929</v>
      </c>
      <c r="B903" s="2">
        <v>46153</v>
      </c>
      <c r="C903" t="s">
        <v>10</v>
      </c>
      <c r="D903" t="s">
        <v>11</v>
      </c>
      <c r="E903" t="s">
        <v>22</v>
      </c>
      <c r="F903">
        <v>12</v>
      </c>
      <c r="G903" t="s">
        <v>13</v>
      </c>
      <c r="H903" s="2">
        <v>46156</v>
      </c>
      <c r="I903" s="2">
        <v>46155</v>
      </c>
    </row>
    <row r="904" spans="1:9" x14ac:dyDescent="0.35">
      <c r="A904" t="s">
        <v>930</v>
      </c>
      <c r="B904" s="2">
        <v>46118</v>
      </c>
      <c r="C904" t="s">
        <v>10</v>
      </c>
      <c r="D904" t="s">
        <v>11</v>
      </c>
      <c r="E904" t="s">
        <v>24</v>
      </c>
      <c r="F904">
        <v>27</v>
      </c>
      <c r="G904" t="s">
        <v>13</v>
      </c>
      <c r="H904" s="2">
        <v>46119</v>
      </c>
      <c r="I904" s="2">
        <v>46118</v>
      </c>
    </row>
    <row r="905" spans="1:9" x14ac:dyDescent="0.35">
      <c r="A905" t="s">
        <v>931</v>
      </c>
      <c r="B905" s="2">
        <v>46164</v>
      </c>
      <c r="C905" t="s">
        <v>15</v>
      </c>
      <c r="D905" t="s">
        <v>16</v>
      </c>
      <c r="E905" t="s">
        <v>17</v>
      </c>
      <c r="F905">
        <v>22</v>
      </c>
      <c r="G905" t="s">
        <v>26</v>
      </c>
      <c r="H905" s="2">
        <v>46168</v>
      </c>
    </row>
    <row r="906" spans="1:9" x14ac:dyDescent="0.35">
      <c r="A906" t="s">
        <v>932</v>
      </c>
      <c r="B906" s="2">
        <v>46138</v>
      </c>
      <c r="C906" t="s">
        <v>34</v>
      </c>
      <c r="D906" t="s">
        <v>35</v>
      </c>
      <c r="E906" t="s">
        <v>12</v>
      </c>
      <c r="F906">
        <v>21</v>
      </c>
      <c r="G906" t="s">
        <v>62</v>
      </c>
      <c r="H906" s="2">
        <v>46141</v>
      </c>
      <c r="I906" s="2">
        <v>46145</v>
      </c>
    </row>
    <row r="907" spans="1:9" x14ac:dyDescent="0.35">
      <c r="A907" t="s">
        <v>933</v>
      </c>
      <c r="B907" s="2">
        <v>46176</v>
      </c>
      <c r="C907" t="s">
        <v>34</v>
      </c>
      <c r="D907" t="s">
        <v>35</v>
      </c>
      <c r="E907" t="s">
        <v>12</v>
      </c>
      <c r="F907">
        <v>10</v>
      </c>
      <c r="G907" t="s">
        <v>13</v>
      </c>
      <c r="H907" s="2">
        <v>46180</v>
      </c>
      <c r="I907" s="2">
        <v>46180</v>
      </c>
    </row>
    <row r="908" spans="1:9" x14ac:dyDescent="0.35">
      <c r="A908" t="s">
        <v>934</v>
      </c>
      <c r="B908" s="2">
        <v>46171</v>
      </c>
      <c r="C908" t="s">
        <v>19</v>
      </c>
      <c r="D908" t="s">
        <v>20</v>
      </c>
      <c r="E908" t="s">
        <v>17</v>
      </c>
      <c r="F908">
        <v>27</v>
      </c>
      <c r="G908" t="s">
        <v>13</v>
      </c>
      <c r="H908" s="2">
        <v>46174</v>
      </c>
      <c r="I908" s="2">
        <v>46173</v>
      </c>
    </row>
    <row r="909" spans="1:9" x14ac:dyDescent="0.35">
      <c r="A909" t="s">
        <v>935</v>
      </c>
      <c r="B909" s="2">
        <v>46168</v>
      </c>
      <c r="C909" t="s">
        <v>15</v>
      </c>
      <c r="D909" t="s">
        <v>16</v>
      </c>
      <c r="E909" t="s">
        <v>12</v>
      </c>
      <c r="F909">
        <v>15</v>
      </c>
      <c r="G909" t="s">
        <v>13</v>
      </c>
      <c r="H909" s="2">
        <v>46170</v>
      </c>
      <c r="I909" s="2">
        <v>46169</v>
      </c>
    </row>
    <row r="910" spans="1:9" x14ac:dyDescent="0.35">
      <c r="A910" t="s">
        <v>936</v>
      </c>
      <c r="B910" s="2">
        <v>46171</v>
      </c>
      <c r="C910" t="s">
        <v>34</v>
      </c>
      <c r="D910" t="s">
        <v>35</v>
      </c>
      <c r="E910" t="s">
        <v>55</v>
      </c>
      <c r="F910">
        <v>30</v>
      </c>
      <c r="G910" t="s">
        <v>13</v>
      </c>
      <c r="H910" s="2">
        <v>46172</v>
      </c>
      <c r="I910" s="2">
        <v>46171</v>
      </c>
    </row>
    <row r="911" spans="1:9" x14ac:dyDescent="0.35">
      <c r="A911" t="s">
        <v>937</v>
      </c>
      <c r="B911" s="2">
        <v>46182</v>
      </c>
      <c r="C911" t="s">
        <v>19</v>
      </c>
      <c r="D911" t="s">
        <v>20</v>
      </c>
      <c r="E911" t="s">
        <v>22</v>
      </c>
      <c r="F911">
        <v>9</v>
      </c>
      <c r="G911" t="s">
        <v>13</v>
      </c>
      <c r="H911" s="2">
        <v>46185</v>
      </c>
      <c r="I911" s="2">
        <v>46185</v>
      </c>
    </row>
    <row r="912" spans="1:9" x14ac:dyDescent="0.35">
      <c r="A912" t="s">
        <v>938</v>
      </c>
      <c r="B912" s="2">
        <v>46145</v>
      </c>
      <c r="C912" t="s">
        <v>34</v>
      </c>
      <c r="D912" t="s">
        <v>35</v>
      </c>
      <c r="E912" t="s">
        <v>46</v>
      </c>
      <c r="F912">
        <v>2</v>
      </c>
      <c r="G912" t="s">
        <v>13</v>
      </c>
      <c r="H912" s="2">
        <v>46147</v>
      </c>
      <c r="I912" s="2">
        <v>46146</v>
      </c>
    </row>
    <row r="913" spans="1:9" x14ac:dyDescent="0.35">
      <c r="A913" t="s">
        <v>939</v>
      </c>
      <c r="B913" s="2">
        <v>46165</v>
      </c>
      <c r="C913" t="s">
        <v>34</v>
      </c>
      <c r="D913" t="s">
        <v>35</v>
      </c>
      <c r="E913" t="s">
        <v>24</v>
      </c>
      <c r="F913">
        <v>5</v>
      </c>
      <c r="G913" t="s">
        <v>13</v>
      </c>
      <c r="H913" s="2">
        <v>46166</v>
      </c>
      <c r="I913" s="2">
        <v>46166</v>
      </c>
    </row>
    <row r="914" spans="1:9" x14ac:dyDescent="0.35">
      <c r="A914" t="s">
        <v>940</v>
      </c>
      <c r="B914" s="2">
        <v>46134</v>
      </c>
      <c r="C914" t="s">
        <v>15</v>
      </c>
      <c r="D914" t="s">
        <v>16</v>
      </c>
      <c r="E914" t="s">
        <v>12</v>
      </c>
      <c r="F914">
        <v>6</v>
      </c>
      <c r="G914" t="s">
        <v>13</v>
      </c>
      <c r="H914" s="2">
        <v>46135</v>
      </c>
      <c r="I914" s="2">
        <v>46134</v>
      </c>
    </row>
    <row r="915" spans="1:9" x14ac:dyDescent="0.35">
      <c r="A915" t="s">
        <v>941</v>
      </c>
      <c r="B915" s="2">
        <v>46133</v>
      </c>
      <c r="C915" t="s">
        <v>19</v>
      </c>
      <c r="D915" t="s">
        <v>20</v>
      </c>
      <c r="E915" t="s">
        <v>43</v>
      </c>
      <c r="F915">
        <v>7</v>
      </c>
      <c r="G915" t="s">
        <v>13</v>
      </c>
      <c r="H915" s="2">
        <v>46136</v>
      </c>
      <c r="I915" s="2">
        <v>46136</v>
      </c>
    </row>
    <row r="916" spans="1:9" x14ac:dyDescent="0.35">
      <c r="A916" t="s">
        <v>942</v>
      </c>
      <c r="B916" s="2">
        <v>46182</v>
      </c>
      <c r="C916" t="s">
        <v>15</v>
      </c>
      <c r="D916" t="s">
        <v>16</v>
      </c>
      <c r="E916" t="s">
        <v>12</v>
      </c>
      <c r="F916">
        <v>21</v>
      </c>
      <c r="G916" t="s">
        <v>13</v>
      </c>
      <c r="H916" s="2">
        <v>46183</v>
      </c>
      <c r="I916" s="2">
        <v>46183</v>
      </c>
    </row>
    <row r="917" spans="1:9" x14ac:dyDescent="0.35">
      <c r="A917" t="s">
        <v>943</v>
      </c>
      <c r="B917" s="2">
        <v>46182</v>
      </c>
      <c r="C917" t="s">
        <v>10</v>
      </c>
      <c r="D917" t="s">
        <v>11</v>
      </c>
      <c r="E917" t="s">
        <v>12</v>
      </c>
      <c r="F917">
        <v>25</v>
      </c>
      <c r="G917" t="s">
        <v>13</v>
      </c>
      <c r="H917" s="2">
        <v>46185</v>
      </c>
      <c r="I917" s="2">
        <v>46185</v>
      </c>
    </row>
    <row r="918" spans="1:9" x14ac:dyDescent="0.35">
      <c r="A918" t="s">
        <v>944</v>
      </c>
      <c r="B918" s="2">
        <v>46116</v>
      </c>
      <c r="C918" t="s">
        <v>19</v>
      </c>
      <c r="D918" t="s">
        <v>20</v>
      </c>
      <c r="E918" t="s">
        <v>32</v>
      </c>
      <c r="F918">
        <v>1</v>
      </c>
      <c r="G918" t="s">
        <v>13</v>
      </c>
      <c r="H918" s="2">
        <v>46117</v>
      </c>
      <c r="I918" s="2">
        <v>46116</v>
      </c>
    </row>
    <row r="919" spans="1:9" x14ac:dyDescent="0.35">
      <c r="A919" t="s">
        <v>945</v>
      </c>
      <c r="B919" s="2">
        <v>46187</v>
      </c>
      <c r="C919" t="s">
        <v>15</v>
      </c>
      <c r="D919" t="s">
        <v>16</v>
      </c>
      <c r="E919" t="s">
        <v>55</v>
      </c>
      <c r="F919">
        <v>23</v>
      </c>
      <c r="G919" t="s">
        <v>62</v>
      </c>
      <c r="H919" s="2">
        <v>46191</v>
      </c>
      <c r="I919" s="2">
        <v>46195</v>
      </c>
    </row>
    <row r="920" spans="1:9" x14ac:dyDescent="0.35">
      <c r="A920" t="s">
        <v>946</v>
      </c>
      <c r="B920" s="2">
        <v>46174</v>
      </c>
      <c r="C920" t="s">
        <v>10</v>
      </c>
      <c r="D920" t="s">
        <v>11</v>
      </c>
      <c r="E920" t="s">
        <v>24</v>
      </c>
      <c r="F920">
        <v>26</v>
      </c>
      <c r="G920" t="s">
        <v>13</v>
      </c>
      <c r="H920" s="2">
        <v>46176</v>
      </c>
      <c r="I920" s="2">
        <v>46176</v>
      </c>
    </row>
    <row r="921" spans="1:9" x14ac:dyDescent="0.35">
      <c r="A921" t="s">
        <v>947</v>
      </c>
      <c r="B921" s="2">
        <v>46174</v>
      </c>
      <c r="C921" t="s">
        <v>15</v>
      </c>
      <c r="D921" t="s">
        <v>16</v>
      </c>
      <c r="E921" t="s">
        <v>32</v>
      </c>
      <c r="F921">
        <v>7</v>
      </c>
      <c r="G921" t="s">
        <v>13</v>
      </c>
      <c r="H921" s="2">
        <v>46178</v>
      </c>
      <c r="I921" s="2">
        <v>46177</v>
      </c>
    </row>
    <row r="922" spans="1:9" x14ac:dyDescent="0.35">
      <c r="A922" t="s">
        <v>948</v>
      </c>
      <c r="B922" s="2">
        <v>46136</v>
      </c>
      <c r="C922" t="s">
        <v>15</v>
      </c>
      <c r="D922" t="s">
        <v>16</v>
      </c>
      <c r="E922" t="s">
        <v>32</v>
      </c>
      <c r="F922">
        <v>20</v>
      </c>
      <c r="G922" t="s">
        <v>26</v>
      </c>
      <c r="H922" s="2">
        <v>46139</v>
      </c>
    </row>
    <row r="923" spans="1:9" x14ac:dyDescent="0.35">
      <c r="A923" t="s">
        <v>949</v>
      </c>
      <c r="B923" s="2">
        <v>46167</v>
      </c>
      <c r="C923" t="s">
        <v>19</v>
      </c>
      <c r="D923" t="s">
        <v>20</v>
      </c>
      <c r="E923" t="s">
        <v>43</v>
      </c>
      <c r="F923">
        <v>25</v>
      </c>
      <c r="G923" t="s">
        <v>62</v>
      </c>
      <c r="H923" s="2">
        <v>46171</v>
      </c>
      <c r="I923" s="2">
        <v>46174</v>
      </c>
    </row>
    <row r="924" spans="1:9" x14ac:dyDescent="0.35">
      <c r="A924" t="s">
        <v>950</v>
      </c>
      <c r="B924" s="2">
        <v>46121</v>
      </c>
      <c r="C924" t="s">
        <v>19</v>
      </c>
      <c r="D924" t="s">
        <v>20</v>
      </c>
      <c r="E924" t="s">
        <v>22</v>
      </c>
      <c r="F924">
        <v>30</v>
      </c>
      <c r="G924" t="s">
        <v>13</v>
      </c>
      <c r="H924" s="2">
        <v>46124</v>
      </c>
      <c r="I924" s="2">
        <v>46124</v>
      </c>
    </row>
    <row r="925" spans="1:9" x14ac:dyDescent="0.35">
      <c r="A925" t="s">
        <v>951</v>
      </c>
      <c r="B925" s="2">
        <v>46115</v>
      </c>
      <c r="C925" t="s">
        <v>10</v>
      </c>
      <c r="D925" t="s">
        <v>11</v>
      </c>
      <c r="E925" t="s">
        <v>43</v>
      </c>
      <c r="F925">
        <v>12</v>
      </c>
      <c r="G925" t="s">
        <v>26</v>
      </c>
      <c r="H925" s="2">
        <v>46116</v>
      </c>
    </row>
    <row r="926" spans="1:9" x14ac:dyDescent="0.35">
      <c r="A926" t="s">
        <v>952</v>
      </c>
      <c r="B926" s="2">
        <v>46143</v>
      </c>
      <c r="C926" t="s">
        <v>34</v>
      </c>
      <c r="D926" t="s">
        <v>35</v>
      </c>
      <c r="E926" t="s">
        <v>22</v>
      </c>
      <c r="F926">
        <v>16</v>
      </c>
      <c r="G926" t="s">
        <v>13</v>
      </c>
      <c r="H926" s="2">
        <v>46144</v>
      </c>
      <c r="I926" s="2">
        <v>46143</v>
      </c>
    </row>
    <row r="927" spans="1:9" x14ac:dyDescent="0.35">
      <c r="A927" t="s">
        <v>953</v>
      </c>
      <c r="B927" s="2">
        <v>46152</v>
      </c>
      <c r="C927" t="s">
        <v>15</v>
      </c>
      <c r="D927" t="s">
        <v>16</v>
      </c>
      <c r="E927" t="s">
        <v>22</v>
      </c>
      <c r="F927">
        <v>16</v>
      </c>
      <c r="G927" t="s">
        <v>13</v>
      </c>
      <c r="H927" s="2">
        <v>46155</v>
      </c>
      <c r="I927" s="2">
        <v>46154</v>
      </c>
    </row>
    <row r="928" spans="1:9" x14ac:dyDescent="0.35">
      <c r="A928" t="s">
        <v>954</v>
      </c>
      <c r="B928" s="2">
        <v>46148</v>
      </c>
      <c r="C928" t="s">
        <v>15</v>
      </c>
      <c r="D928" t="s">
        <v>16</v>
      </c>
      <c r="E928" t="s">
        <v>24</v>
      </c>
      <c r="F928">
        <v>11</v>
      </c>
      <c r="G928" t="s">
        <v>13</v>
      </c>
      <c r="H928" s="2">
        <v>46152</v>
      </c>
      <c r="I928" s="2">
        <v>46151</v>
      </c>
    </row>
    <row r="929" spans="1:9" x14ac:dyDescent="0.35">
      <c r="A929" t="s">
        <v>955</v>
      </c>
      <c r="B929" s="2">
        <v>46136</v>
      </c>
      <c r="C929" t="s">
        <v>15</v>
      </c>
      <c r="D929" t="s">
        <v>16</v>
      </c>
      <c r="E929" t="s">
        <v>12</v>
      </c>
      <c r="F929">
        <v>21</v>
      </c>
      <c r="G929" t="s">
        <v>13</v>
      </c>
      <c r="H929" s="2">
        <v>46137</v>
      </c>
      <c r="I929" s="2">
        <v>46137</v>
      </c>
    </row>
    <row r="930" spans="1:9" x14ac:dyDescent="0.35">
      <c r="A930" t="s">
        <v>956</v>
      </c>
      <c r="B930" s="2">
        <v>46118</v>
      </c>
      <c r="C930" t="s">
        <v>15</v>
      </c>
      <c r="D930" t="s">
        <v>16</v>
      </c>
      <c r="E930" t="s">
        <v>24</v>
      </c>
      <c r="F930">
        <v>4</v>
      </c>
      <c r="G930" t="s">
        <v>13</v>
      </c>
      <c r="H930" s="2">
        <v>46120</v>
      </c>
      <c r="I930" s="2">
        <v>46120</v>
      </c>
    </row>
    <row r="931" spans="1:9" x14ac:dyDescent="0.35">
      <c r="A931" t="s">
        <v>957</v>
      </c>
      <c r="B931" s="2">
        <v>46178</v>
      </c>
      <c r="C931" t="s">
        <v>34</v>
      </c>
      <c r="D931" t="s">
        <v>35</v>
      </c>
      <c r="E931" t="s">
        <v>55</v>
      </c>
      <c r="F931">
        <v>13</v>
      </c>
      <c r="G931" t="s">
        <v>13</v>
      </c>
      <c r="H931" s="2">
        <v>46179</v>
      </c>
      <c r="I931" s="2">
        <v>46178</v>
      </c>
    </row>
    <row r="932" spans="1:9" x14ac:dyDescent="0.35">
      <c r="A932" t="s">
        <v>958</v>
      </c>
      <c r="B932" s="2">
        <v>46196</v>
      </c>
      <c r="C932" t="s">
        <v>34</v>
      </c>
      <c r="D932" t="s">
        <v>35</v>
      </c>
      <c r="E932" t="s">
        <v>22</v>
      </c>
      <c r="F932">
        <v>7</v>
      </c>
      <c r="G932" t="s">
        <v>13</v>
      </c>
      <c r="H932" s="2">
        <v>46198</v>
      </c>
      <c r="I932" s="2">
        <v>46198</v>
      </c>
    </row>
    <row r="933" spans="1:9" x14ac:dyDescent="0.35">
      <c r="A933" t="s">
        <v>959</v>
      </c>
      <c r="B933" s="2">
        <v>46187</v>
      </c>
      <c r="C933" t="s">
        <v>34</v>
      </c>
      <c r="D933" t="s">
        <v>35</v>
      </c>
      <c r="E933" t="s">
        <v>32</v>
      </c>
      <c r="F933">
        <v>4</v>
      </c>
      <c r="G933" t="s">
        <v>13</v>
      </c>
      <c r="H933" s="2">
        <v>46191</v>
      </c>
      <c r="I933" s="2">
        <v>46190</v>
      </c>
    </row>
    <row r="934" spans="1:9" x14ac:dyDescent="0.35">
      <c r="A934" t="s">
        <v>960</v>
      </c>
      <c r="B934" s="2">
        <v>46116</v>
      </c>
      <c r="C934" t="s">
        <v>15</v>
      </c>
      <c r="D934" t="s">
        <v>16</v>
      </c>
      <c r="E934" t="s">
        <v>12</v>
      </c>
      <c r="F934">
        <v>15</v>
      </c>
      <c r="G934" t="s">
        <v>13</v>
      </c>
      <c r="H934" s="2">
        <v>46118</v>
      </c>
      <c r="I934" s="2">
        <v>46118</v>
      </c>
    </row>
    <row r="935" spans="1:9" x14ac:dyDescent="0.35">
      <c r="A935" t="s">
        <v>961</v>
      </c>
      <c r="B935" s="2">
        <v>46191</v>
      </c>
      <c r="C935" t="s">
        <v>34</v>
      </c>
      <c r="D935" t="s">
        <v>35</v>
      </c>
      <c r="E935" t="s">
        <v>46</v>
      </c>
      <c r="F935">
        <v>19</v>
      </c>
      <c r="G935" t="s">
        <v>13</v>
      </c>
      <c r="H935" s="2">
        <v>46193</v>
      </c>
      <c r="I935" s="2">
        <v>46192</v>
      </c>
    </row>
    <row r="936" spans="1:9" x14ac:dyDescent="0.35">
      <c r="A936" t="s">
        <v>962</v>
      </c>
      <c r="B936" s="2">
        <v>46118</v>
      </c>
      <c r="C936" t="s">
        <v>19</v>
      </c>
      <c r="D936" t="s">
        <v>20</v>
      </c>
      <c r="E936" t="s">
        <v>55</v>
      </c>
      <c r="F936">
        <v>9</v>
      </c>
      <c r="G936" t="s">
        <v>13</v>
      </c>
      <c r="H936" s="2">
        <v>46120</v>
      </c>
      <c r="I936" s="2">
        <v>46119</v>
      </c>
    </row>
    <row r="937" spans="1:9" x14ac:dyDescent="0.35">
      <c r="A937" t="s">
        <v>963</v>
      </c>
      <c r="B937" s="2">
        <v>46163</v>
      </c>
      <c r="C937" t="s">
        <v>15</v>
      </c>
      <c r="D937" t="s">
        <v>16</v>
      </c>
      <c r="E937" t="s">
        <v>24</v>
      </c>
      <c r="F937">
        <v>11</v>
      </c>
      <c r="G937" t="s">
        <v>13</v>
      </c>
      <c r="H937" s="2">
        <v>46165</v>
      </c>
      <c r="I937" s="2">
        <v>46165</v>
      </c>
    </row>
    <row r="938" spans="1:9" x14ac:dyDescent="0.35">
      <c r="A938" t="s">
        <v>964</v>
      </c>
      <c r="B938" s="2">
        <v>46174</v>
      </c>
      <c r="C938" t="s">
        <v>19</v>
      </c>
      <c r="D938" t="s">
        <v>20</v>
      </c>
      <c r="E938" t="s">
        <v>43</v>
      </c>
      <c r="F938">
        <v>8</v>
      </c>
      <c r="G938" t="s">
        <v>26</v>
      </c>
      <c r="H938" s="2">
        <v>46175</v>
      </c>
    </row>
    <row r="939" spans="1:9" x14ac:dyDescent="0.35">
      <c r="A939" t="s">
        <v>965</v>
      </c>
      <c r="B939" s="2">
        <v>46169</v>
      </c>
      <c r="C939" t="s">
        <v>19</v>
      </c>
      <c r="D939" t="s">
        <v>20</v>
      </c>
      <c r="E939" t="s">
        <v>55</v>
      </c>
      <c r="F939">
        <v>1</v>
      </c>
      <c r="G939" t="s">
        <v>26</v>
      </c>
      <c r="H939" s="2">
        <v>46171</v>
      </c>
    </row>
    <row r="940" spans="1:9" x14ac:dyDescent="0.35">
      <c r="A940" t="s">
        <v>966</v>
      </c>
      <c r="B940" s="2">
        <v>46178</v>
      </c>
      <c r="C940" t="s">
        <v>15</v>
      </c>
      <c r="D940" t="s">
        <v>16</v>
      </c>
      <c r="E940" t="s">
        <v>55</v>
      </c>
      <c r="F940">
        <v>23</v>
      </c>
      <c r="G940" t="s">
        <v>13</v>
      </c>
      <c r="H940" s="2">
        <v>46179</v>
      </c>
      <c r="I940" s="2">
        <v>46178</v>
      </c>
    </row>
    <row r="941" spans="1:9" x14ac:dyDescent="0.35">
      <c r="A941" t="s">
        <v>967</v>
      </c>
      <c r="B941" s="2">
        <v>46191</v>
      </c>
      <c r="C941" t="s">
        <v>19</v>
      </c>
      <c r="D941" t="s">
        <v>20</v>
      </c>
      <c r="E941" t="s">
        <v>12</v>
      </c>
      <c r="F941">
        <v>25</v>
      </c>
      <c r="G941" t="s">
        <v>26</v>
      </c>
      <c r="H941" s="2">
        <v>46193</v>
      </c>
    </row>
    <row r="942" spans="1:9" x14ac:dyDescent="0.35">
      <c r="A942" t="s">
        <v>968</v>
      </c>
      <c r="B942" s="2">
        <v>46187</v>
      </c>
      <c r="C942" t="s">
        <v>10</v>
      </c>
      <c r="D942" t="s">
        <v>11</v>
      </c>
      <c r="E942" t="s">
        <v>55</v>
      </c>
      <c r="F942">
        <v>24</v>
      </c>
      <c r="G942" t="s">
        <v>13</v>
      </c>
      <c r="H942" s="2">
        <v>46190</v>
      </c>
      <c r="I942" s="2">
        <v>46189</v>
      </c>
    </row>
    <row r="943" spans="1:9" x14ac:dyDescent="0.35">
      <c r="A943" t="s">
        <v>969</v>
      </c>
      <c r="B943" s="2">
        <v>46120</v>
      </c>
      <c r="C943" t="s">
        <v>10</v>
      </c>
      <c r="D943" t="s">
        <v>11</v>
      </c>
      <c r="E943" t="s">
        <v>55</v>
      </c>
      <c r="F943">
        <v>8</v>
      </c>
      <c r="G943" t="s">
        <v>13</v>
      </c>
      <c r="H943" s="2">
        <v>46124</v>
      </c>
      <c r="I943" s="2">
        <v>46124</v>
      </c>
    </row>
    <row r="944" spans="1:9" x14ac:dyDescent="0.35">
      <c r="A944" t="s">
        <v>970</v>
      </c>
      <c r="B944" s="2">
        <v>46138</v>
      </c>
      <c r="C944" t="s">
        <v>34</v>
      </c>
      <c r="D944" t="s">
        <v>35</v>
      </c>
      <c r="E944" t="s">
        <v>46</v>
      </c>
      <c r="F944">
        <v>13</v>
      </c>
      <c r="G944" t="s">
        <v>13</v>
      </c>
      <c r="H944" s="2">
        <v>46140</v>
      </c>
      <c r="I944" s="2">
        <v>46139</v>
      </c>
    </row>
    <row r="945" spans="1:9" x14ac:dyDescent="0.35">
      <c r="A945" t="s">
        <v>971</v>
      </c>
      <c r="B945" s="2">
        <v>46163</v>
      </c>
      <c r="C945" t="s">
        <v>34</v>
      </c>
      <c r="D945" t="s">
        <v>35</v>
      </c>
      <c r="E945" t="s">
        <v>17</v>
      </c>
      <c r="F945">
        <v>22</v>
      </c>
      <c r="G945" t="s">
        <v>13</v>
      </c>
      <c r="H945" s="2">
        <v>46166</v>
      </c>
      <c r="I945" s="2">
        <v>46166</v>
      </c>
    </row>
    <row r="946" spans="1:9" x14ac:dyDescent="0.35">
      <c r="A946" t="s">
        <v>972</v>
      </c>
      <c r="B946" s="2">
        <v>46157</v>
      </c>
      <c r="C946" t="s">
        <v>34</v>
      </c>
      <c r="D946" t="s">
        <v>35</v>
      </c>
      <c r="E946" t="s">
        <v>43</v>
      </c>
      <c r="F946">
        <v>27</v>
      </c>
      <c r="G946" t="s">
        <v>13</v>
      </c>
      <c r="H946" s="2">
        <v>46159</v>
      </c>
      <c r="I946" s="2">
        <v>46158</v>
      </c>
    </row>
    <row r="947" spans="1:9" x14ac:dyDescent="0.35">
      <c r="A947" t="s">
        <v>973</v>
      </c>
      <c r="B947" s="2">
        <v>46156</v>
      </c>
      <c r="C947" t="s">
        <v>34</v>
      </c>
      <c r="D947" t="s">
        <v>35</v>
      </c>
      <c r="E947" t="s">
        <v>43</v>
      </c>
      <c r="F947">
        <v>4</v>
      </c>
      <c r="G947" t="s">
        <v>13</v>
      </c>
      <c r="H947" s="2">
        <v>46158</v>
      </c>
      <c r="I947" s="2">
        <v>46158</v>
      </c>
    </row>
    <row r="948" spans="1:9" x14ac:dyDescent="0.35">
      <c r="A948" t="s">
        <v>974</v>
      </c>
      <c r="B948" s="2">
        <v>46117</v>
      </c>
      <c r="C948" t="s">
        <v>10</v>
      </c>
      <c r="D948" t="s">
        <v>11</v>
      </c>
      <c r="E948" t="s">
        <v>43</v>
      </c>
      <c r="F948">
        <v>8</v>
      </c>
      <c r="G948" t="s">
        <v>26</v>
      </c>
      <c r="H948" s="2">
        <v>46119</v>
      </c>
    </row>
    <row r="949" spans="1:9" x14ac:dyDescent="0.35">
      <c r="A949" t="s">
        <v>975</v>
      </c>
      <c r="B949" s="2">
        <v>46182</v>
      </c>
      <c r="C949" t="s">
        <v>10</v>
      </c>
      <c r="D949" t="s">
        <v>11</v>
      </c>
      <c r="E949" t="s">
        <v>22</v>
      </c>
      <c r="F949">
        <v>3</v>
      </c>
      <c r="G949" t="s">
        <v>13</v>
      </c>
      <c r="H949" s="2">
        <v>46185</v>
      </c>
      <c r="I949" s="2">
        <v>46184</v>
      </c>
    </row>
    <row r="950" spans="1:9" x14ac:dyDescent="0.35">
      <c r="A950" t="s">
        <v>976</v>
      </c>
      <c r="B950" s="2">
        <v>46138</v>
      </c>
      <c r="C950" t="s">
        <v>34</v>
      </c>
      <c r="D950" t="s">
        <v>35</v>
      </c>
      <c r="E950" t="s">
        <v>32</v>
      </c>
      <c r="F950">
        <v>29</v>
      </c>
      <c r="G950" t="s">
        <v>13</v>
      </c>
      <c r="H950" s="2">
        <v>46142</v>
      </c>
      <c r="I950" s="2">
        <v>46141</v>
      </c>
    </row>
    <row r="951" spans="1:9" x14ac:dyDescent="0.35">
      <c r="A951" t="s">
        <v>977</v>
      </c>
      <c r="B951" s="2">
        <v>46180</v>
      </c>
      <c r="C951" t="s">
        <v>10</v>
      </c>
      <c r="D951" t="s">
        <v>11</v>
      </c>
      <c r="E951" t="s">
        <v>17</v>
      </c>
      <c r="F951">
        <v>9</v>
      </c>
      <c r="G951" t="s">
        <v>62</v>
      </c>
      <c r="H951" s="2">
        <v>46183</v>
      </c>
      <c r="I951" s="2">
        <v>46187</v>
      </c>
    </row>
    <row r="952" spans="1:9" x14ac:dyDescent="0.35">
      <c r="A952" t="s">
        <v>978</v>
      </c>
      <c r="B952" s="2">
        <v>46131</v>
      </c>
      <c r="C952" t="s">
        <v>15</v>
      </c>
      <c r="D952" t="s">
        <v>16</v>
      </c>
      <c r="E952" t="s">
        <v>43</v>
      </c>
      <c r="F952">
        <v>29</v>
      </c>
      <c r="G952" t="s">
        <v>13</v>
      </c>
      <c r="H952" s="2">
        <v>46135</v>
      </c>
      <c r="I952" s="2">
        <v>46134</v>
      </c>
    </row>
    <row r="953" spans="1:9" x14ac:dyDescent="0.35">
      <c r="A953" t="s">
        <v>979</v>
      </c>
      <c r="B953" s="2">
        <v>46196</v>
      </c>
      <c r="C953" t="s">
        <v>15</v>
      </c>
      <c r="D953" t="s">
        <v>16</v>
      </c>
      <c r="E953" t="s">
        <v>55</v>
      </c>
      <c r="F953">
        <v>2</v>
      </c>
      <c r="G953" t="s">
        <v>13</v>
      </c>
      <c r="H953" s="2">
        <v>46198</v>
      </c>
      <c r="I953" s="2">
        <v>46198</v>
      </c>
    </row>
    <row r="954" spans="1:9" x14ac:dyDescent="0.35">
      <c r="A954" t="s">
        <v>980</v>
      </c>
      <c r="B954" s="2">
        <v>46132</v>
      </c>
      <c r="C954" t="s">
        <v>19</v>
      </c>
      <c r="D954" t="s">
        <v>20</v>
      </c>
      <c r="E954" t="s">
        <v>55</v>
      </c>
      <c r="F954">
        <v>2</v>
      </c>
      <c r="G954" t="s">
        <v>13</v>
      </c>
      <c r="H954" s="2">
        <v>46133</v>
      </c>
      <c r="I954" s="2">
        <v>46133</v>
      </c>
    </row>
    <row r="955" spans="1:9" x14ac:dyDescent="0.35">
      <c r="A955" t="s">
        <v>981</v>
      </c>
      <c r="B955" s="2">
        <v>46124</v>
      </c>
      <c r="C955" t="s">
        <v>34</v>
      </c>
      <c r="D955" t="s">
        <v>35</v>
      </c>
      <c r="E955" t="s">
        <v>43</v>
      </c>
      <c r="F955">
        <v>28</v>
      </c>
      <c r="G955" t="s">
        <v>13</v>
      </c>
      <c r="H955" s="2">
        <v>46126</v>
      </c>
      <c r="I955" s="2">
        <v>46126</v>
      </c>
    </row>
    <row r="956" spans="1:9" x14ac:dyDescent="0.35">
      <c r="A956" t="s">
        <v>982</v>
      </c>
      <c r="B956" s="2">
        <v>46159</v>
      </c>
      <c r="C956" t="s">
        <v>15</v>
      </c>
      <c r="D956" t="s">
        <v>16</v>
      </c>
      <c r="E956" t="s">
        <v>12</v>
      </c>
      <c r="F956">
        <v>13</v>
      </c>
      <c r="G956" t="s">
        <v>13</v>
      </c>
      <c r="H956" s="2">
        <v>46163</v>
      </c>
      <c r="I956" s="2">
        <v>46163</v>
      </c>
    </row>
    <row r="957" spans="1:9" x14ac:dyDescent="0.35">
      <c r="A957" t="s">
        <v>983</v>
      </c>
      <c r="B957" s="2">
        <v>46113</v>
      </c>
      <c r="C957" t="s">
        <v>15</v>
      </c>
      <c r="D957" t="s">
        <v>16</v>
      </c>
      <c r="E957" t="s">
        <v>43</v>
      </c>
      <c r="F957">
        <v>15</v>
      </c>
      <c r="G957" t="s">
        <v>13</v>
      </c>
      <c r="H957" s="2">
        <v>46116</v>
      </c>
      <c r="I957" s="2">
        <v>46116</v>
      </c>
    </row>
    <row r="958" spans="1:9" x14ac:dyDescent="0.35">
      <c r="A958" t="s">
        <v>984</v>
      </c>
      <c r="B958" s="2">
        <v>46202</v>
      </c>
      <c r="C958" t="s">
        <v>15</v>
      </c>
      <c r="D958" t="s">
        <v>16</v>
      </c>
      <c r="E958" t="s">
        <v>55</v>
      </c>
      <c r="F958">
        <v>28</v>
      </c>
      <c r="G958" t="s">
        <v>13</v>
      </c>
      <c r="H958" s="2">
        <v>46204</v>
      </c>
      <c r="I958" s="2">
        <v>46204</v>
      </c>
    </row>
    <row r="959" spans="1:9" x14ac:dyDescent="0.35">
      <c r="A959" t="s">
        <v>985</v>
      </c>
      <c r="B959" s="2">
        <v>46126</v>
      </c>
      <c r="C959" t="s">
        <v>19</v>
      </c>
      <c r="D959" t="s">
        <v>20</v>
      </c>
      <c r="E959" t="s">
        <v>22</v>
      </c>
      <c r="F959">
        <v>23</v>
      </c>
      <c r="G959" t="s">
        <v>13</v>
      </c>
      <c r="H959" s="2">
        <v>46129</v>
      </c>
      <c r="I959" s="2">
        <v>46129</v>
      </c>
    </row>
    <row r="960" spans="1:9" x14ac:dyDescent="0.35">
      <c r="A960" t="s">
        <v>986</v>
      </c>
      <c r="B960" s="2">
        <v>46176</v>
      </c>
      <c r="C960" t="s">
        <v>10</v>
      </c>
      <c r="D960" t="s">
        <v>11</v>
      </c>
      <c r="E960" t="s">
        <v>24</v>
      </c>
      <c r="F960">
        <v>12</v>
      </c>
      <c r="G960" t="s">
        <v>13</v>
      </c>
      <c r="H960" s="2">
        <v>46179</v>
      </c>
      <c r="I960" s="2">
        <v>46178</v>
      </c>
    </row>
    <row r="961" spans="1:9" x14ac:dyDescent="0.35">
      <c r="A961" t="s">
        <v>987</v>
      </c>
      <c r="B961" s="2">
        <v>46150</v>
      </c>
      <c r="C961" t="s">
        <v>19</v>
      </c>
      <c r="D961" t="s">
        <v>20</v>
      </c>
      <c r="E961" t="s">
        <v>24</v>
      </c>
      <c r="F961">
        <v>26</v>
      </c>
      <c r="G961" t="s">
        <v>13</v>
      </c>
      <c r="H961" s="2">
        <v>46153</v>
      </c>
      <c r="I961" s="2">
        <v>46152</v>
      </c>
    </row>
    <row r="962" spans="1:9" x14ac:dyDescent="0.35">
      <c r="A962" t="s">
        <v>988</v>
      </c>
      <c r="B962" s="2">
        <v>46149</v>
      </c>
      <c r="C962" t="s">
        <v>10</v>
      </c>
      <c r="D962" t="s">
        <v>11</v>
      </c>
      <c r="E962" t="s">
        <v>17</v>
      </c>
      <c r="F962">
        <v>4</v>
      </c>
      <c r="G962" t="s">
        <v>13</v>
      </c>
      <c r="H962" s="2">
        <v>46151</v>
      </c>
      <c r="I962" s="2">
        <v>46150</v>
      </c>
    </row>
    <row r="963" spans="1:9" x14ac:dyDescent="0.35">
      <c r="A963" t="s">
        <v>989</v>
      </c>
      <c r="B963" s="2">
        <v>46123</v>
      </c>
      <c r="C963" t="s">
        <v>34</v>
      </c>
      <c r="D963" t="s">
        <v>35</v>
      </c>
      <c r="E963" t="s">
        <v>17</v>
      </c>
      <c r="F963">
        <v>26</v>
      </c>
      <c r="G963" t="s">
        <v>26</v>
      </c>
      <c r="H963" s="2">
        <v>46126</v>
      </c>
    </row>
    <row r="964" spans="1:9" x14ac:dyDescent="0.35">
      <c r="A964" t="s">
        <v>990</v>
      </c>
      <c r="B964" s="2">
        <v>46189</v>
      </c>
      <c r="C964" t="s">
        <v>34</v>
      </c>
      <c r="D964" t="s">
        <v>35</v>
      </c>
      <c r="E964" t="s">
        <v>43</v>
      </c>
      <c r="F964">
        <v>8</v>
      </c>
      <c r="G964" t="s">
        <v>13</v>
      </c>
      <c r="H964" s="2">
        <v>46192</v>
      </c>
      <c r="I964" s="2">
        <v>46191</v>
      </c>
    </row>
    <row r="965" spans="1:9" x14ac:dyDescent="0.35">
      <c r="A965" t="s">
        <v>991</v>
      </c>
      <c r="B965" s="2">
        <v>46115</v>
      </c>
      <c r="C965" t="s">
        <v>10</v>
      </c>
      <c r="D965" t="s">
        <v>11</v>
      </c>
      <c r="E965" t="s">
        <v>46</v>
      </c>
      <c r="F965">
        <v>9</v>
      </c>
      <c r="G965" t="s">
        <v>13</v>
      </c>
      <c r="H965" s="2">
        <v>46117</v>
      </c>
      <c r="I965" s="2">
        <v>46117</v>
      </c>
    </row>
    <row r="966" spans="1:9" x14ac:dyDescent="0.35">
      <c r="A966" t="s">
        <v>992</v>
      </c>
      <c r="B966" s="2">
        <v>46145</v>
      </c>
      <c r="C966" t="s">
        <v>15</v>
      </c>
      <c r="D966" t="s">
        <v>16</v>
      </c>
      <c r="E966" t="s">
        <v>43</v>
      </c>
      <c r="F966">
        <v>23</v>
      </c>
      <c r="G966" t="s">
        <v>13</v>
      </c>
      <c r="H966" s="2">
        <v>46148</v>
      </c>
      <c r="I966" s="2">
        <v>46148</v>
      </c>
    </row>
    <row r="967" spans="1:9" x14ac:dyDescent="0.35">
      <c r="A967" t="s">
        <v>993</v>
      </c>
      <c r="B967" s="2">
        <v>46118</v>
      </c>
      <c r="C967" t="s">
        <v>19</v>
      </c>
      <c r="D967" t="s">
        <v>20</v>
      </c>
      <c r="E967" t="s">
        <v>12</v>
      </c>
      <c r="F967">
        <v>5</v>
      </c>
      <c r="G967" t="s">
        <v>13</v>
      </c>
      <c r="H967" s="2">
        <v>46120</v>
      </c>
      <c r="I967" s="2">
        <v>46120</v>
      </c>
    </row>
    <row r="968" spans="1:9" x14ac:dyDescent="0.35">
      <c r="A968" t="s">
        <v>994</v>
      </c>
      <c r="B968" s="2">
        <v>46162</v>
      </c>
      <c r="C968" t="s">
        <v>19</v>
      </c>
      <c r="D968" t="s">
        <v>20</v>
      </c>
      <c r="E968" t="s">
        <v>43</v>
      </c>
      <c r="F968">
        <v>24</v>
      </c>
      <c r="G968" t="s">
        <v>13</v>
      </c>
      <c r="H968" s="2">
        <v>46166</v>
      </c>
      <c r="I968" s="2">
        <v>46165</v>
      </c>
    </row>
    <row r="969" spans="1:9" x14ac:dyDescent="0.35">
      <c r="A969" t="s">
        <v>995</v>
      </c>
      <c r="B969" s="2">
        <v>46122</v>
      </c>
      <c r="C969" t="s">
        <v>34</v>
      </c>
      <c r="D969" t="s">
        <v>35</v>
      </c>
      <c r="E969" t="s">
        <v>17</v>
      </c>
      <c r="F969">
        <v>20</v>
      </c>
      <c r="G969" t="s">
        <v>13</v>
      </c>
      <c r="H969" s="2">
        <v>46126</v>
      </c>
      <c r="I969" s="2">
        <v>46126</v>
      </c>
    </row>
    <row r="970" spans="1:9" x14ac:dyDescent="0.35">
      <c r="A970" t="s">
        <v>996</v>
      </c>
      <c r="B970" s="2">
        <v>46117</v>
      </c>
      <c r="C970" t="s">
        <v>19</v>
      </c>
      <c r="D970" t="s">
        <v>20</v>
      </c>
      <c r="E970" t="s">
        <v>24</v>
      </c>
      <c r="F970">
        <v>18</v>
      </c>
      <c r="G970" t="s">
        <v>26</v>
      </c>
      <c r="H970" s="2">
        <v>46121</v>
      </c>
    </row>
    <row r="971" spans="1:9" x14ac:dyDescent="0.35">
      <c r="A971" t="s">
        <v>997</v>
      </c>
      <c r="B971" s="2">
        <v>46135</v>
      </c>
      <c r="C971" t="s">
        <v>19</v>
      </c>
      <c r="D971" t="s">
        <v>20</v>
      </c>
      <c r="E971" t="s">
        <v>55</v>
      </c>
      <c r="F971">
        <v>11</v>
      </c>
      <c r="G971" t="s">
        <v>26</v>
      </c>
      <c r="H971" s="2">
        <v>46138</v>
      </c>
    </row>
    <row r="972" spans="1:9" x14ac:dyDescent="0.35">
      <c r="A972" t="s">
        <v>998</v>
      </c>
      <c r="B972" s="2">
        <v>46122</v>
      </c>
      <c r="C972" t="s">
        <v>10</v>
      </c>
      <c r="D972" t="s">
        <v>11</v>
      </c>
      <c r="E972" t="s">
        <v>43</v>
      </c>
      <c r="F972">
        <v>15</v>
      </c>
      <c r="G972" t="s">
        <v>13</v>
      </c>
      <c r="H972" s="2">
        <v>46123</v>
      </c>
      <c r="I972" s="2">
        <v>46122</v>
      </c>
    </row>
    <row r="973" spans="1:9" x14ac:dyDescent="0.35">
      <c r="A973" t="s">
        <v>999</v>
      </c>
      <c r="B973" s="2">
        <v>46156</v>
      </c>
      <c r="C973" t="s">
        <v>15</v>
      </c>
      <c r="D973" t="s">
        <v>16</v>
      </c>
      <c r="E973" t="s">
        <v>55</v>
      </c>
      <c r="F973">
        <v>28</v>
      </c>
      <c r="G973" t="s">
        <v>26</v>
      </c>
      <c r="H973" s="2">
        <v>46157</v>
      </c>
    </row>
    <row r="974" spans="1:9" x14ac:dyDescent="0.35">
      <c r="A974" t="s">
        <v>1000</v>
      </c>
      <c r="B974" s="2">
        <v>46114</v>
      </c>
      <c r="C974" t="s">
        <v>34</v>
      </c>
      <c r="D974" t="s">
        <v>35</v>
      </c>
      <c r="E974" t="s">
        <v>55</v>
      </c>
      <c r="F974">
        <v>22</v>
      </c>
      <c r="G974" t="s">
        <v>13</v>
      </c>
      <c r="H974" s="2">
        <v>46117</v>
      </c>
      <c r="I974" s="2">
        <v>46117</v>
      </c>
    </row>
    <row r="975" spans="1:9" x14ac:dyDescent="0.35">
      <c r="A975" t="s">
        <v>1001</v>
      </c>
      <c r="B975" s="2">
        <v>46125</v>
      </c>
      <c r="C975" t="s">
        <v>34</v>
      </c>
      <c r="D975" t="s">
        <v>35</v>
      </c>
      <c r="E975" t="s">
        <v>46</v>
      </c>
      <c r="F975">
        <v>9</v>
      </c>
      <c r="G975" t="s">
        <v>13</v>
      </c>
      <c r="H975" s="2">
        <v>46126</v>
      </c>
      <c r="I975" s="2">
        <v>46126</v>
      </c>
    </row>
    <row r="976" spans="1:9" x14ac:dyDescent="0.35">
      <c r="A976" t="s">
        <v>1002</v>
      </c>
      <c r="B976" s="2">
        <v>46152</v>
      </c>
      <c r="C976" t="s">
        <v>15</v>
      </c>
      <c r="D976" t="s">
        <v>16</v>
      </c>
      <c r="E976" t="s">
        <v>55</v>
      </c>
      <c r="F976">
        <v>17</v>
      </c>
      <c r="G976" t="s">
        <v>13</v>
      </c>
      <c r="H976" s="2">
        <v>46154</v>
      </c>
      <c r="I976" s="2">
        <v>46154</v>
      </c>
    </row>
    <row r="977" spans="1:9" x14ac:dyDescent="0.35">
      <c r="A977" t="s">
        <v>1003</v>
      </c>
      <c r="B977" s="2">
        <v>46114</v>
      </c>
      <c r="C977" t="s">
        <v>15</v>
      </c>
      <c r="D977" t="s">
        <v>16</v>
      </c>
      <c r="E977" t="s">
        <v>24</v>
      </c>
      <c r="F977">
        <v>27</v>
      </c>
      <c r="G977" t="s">
        <v>13</v>
      </c>
      <c r="H977" s="2">
        <v>46115</v>
      </c>
      <c r="I977" s="2">
        <v>46115</v>
      </c>
    </row>
    <row r="978" spans="1:9" x14ac:dyDescent="0.35">
      <c r="A978" t="s">
        <v>1004</v>
      </c>
      <c r="B978" s="2">
        <v>46196</v>
      </c>
      <c r="C978" t="s">
        <v>19</v>
      </c>
      <c r="D978" t="s">
        <v>20</v>
      </c>
      <c r="E978" t="s">
        <v>22</v>
      </c>
      <c r="F978">
        <v>26</v>
      </c>
      <c r="G978" t="s">
        <v>13</v>
      </c>
      <c r="H978" s="2">
        <v>46199</v>
      </c>
      <c r="I978" s="2">
        <v>46198</v>
      </c>
    </row>
    <row r="979" spans="1:9" x14ac:dyDescent="0.35">
      <c r="A979" t="s">
        <v>1005</v>
      </c>
      <c r="B979" s="2">
        <v>46177</v>
      </c>
      <c r="C979" t="s">
        <v>15</v>
      </c>
      <c r="D979" t="s">
        <v>16</v>
      </c>
      <c r="E979" t="s">
        <v>22</v>
      </c>
      <c r="F979">
        <v>12</v>
      </c>
      <c r="G979" t="s">
        <v>13</v>
      </c>
      <c r="H979" s="2">
        <v>46180</v>
      </c>
      <c r="I979" s="2">
        <v>46179</v>
      </c>
    </row>
    <row r="980" spans="1:9" x14ac:dyDescent="0.35">
      <c r="A980" t="s">
        <v>1006</v>
      </c>
      <c r="B980" s="2">
        <v>46175</v>
      </c>
      <c r="C980" t="s">
        <v>10</v>
      </c>
      <c r="D980" t="s">
        <v>11</v>
      </c>
      <c r="E980" t="s">
        <v>32</v>
      </c>
      <c r="F980">
        <v>7</v>
      </c>
      <c r="G980" t="s">
        <v>13</v>
      </c>
      <c r="H980" s="2">
        <v>46177</v>
      </c>
      <c r="I980" s="2">
        <v>46177</v>
      </c>
    </row>
    <row r="981" spans="1:9" x14ac:dyDescent="0.35">
      <c r="A981" t="s">
        <v>1007</v>
      </c>
      <c r="B981" s="2">
        <v>46185</v>
      </c>
      <c r="C981" t="s">
        <v>19</v>
      </c>
      <c r="D981" t="s">
        <v>20</v>
      </c>
      <c r="E981" t="s">
        <v>12</v>
      </c>
      <c r="F981">
        <v>10</v>
      </c>
      <c r="G981" t="s">
        <v>62</v>
      </c>
      <c r="H981" s="2">
        <v>46189</v>
      </c>
      <c r="I981" s="2">
        <v>46193</v>
      </c>
    </row>
    <row r="982" spans="1:9" x14ac:dyDescent="0.35">
      <c r="A982" t="s">
        <v>1008</v>
      </c>
      <c r="B982" s="2">
        <v>46129</v>
      </c>
      <c r="C982" t="s">
        <v>19</v>
      </c>
      <c r="D982" t="s">
        <v>20</v>
      </c>
      <c r="E982" t="s">
        <v>43</v>
      </c>
      <c r="F982">
        <v>25</v>
      </c>
      <c r="G982" t="s">
        <v>13</v>
      </c>
      <c r="H982" s="2">
        <v>46132</v>
      </c>
      <c r="I982" s="2">
        <v>46132</v>
      </c>
    </row>
    <row r="983" spans="1:9" x14ac:dyDescent="0.35">
      <c r="A983" t="s">
        <v>1009</v>
      </c>
      <c r="B983" s="2">
        <v>46121</v>
      </c>
      <c r="C983" t="s">
        <v>15</v>
      </c>
      <c r="D983" t="s">
        <v>16</v>
      </c>
      <c r="E983" t="s">
        <v>12</v>
      </c>
      <c r="F983">
        <v>26</v>
      </c>
      <c r="G983" t="s">
        <v>13</v>
      </c>
      <c r="H983" s="2">
        <v>46123</v>
      </c>
      <c r="I983" s="2">
        <v>46123</v>
      </c>
    </row>
    <row r="984" spans="1:9" x14ac:dyDescent="0.35">
      <c r="A984" t="s">
        <v>1010</v>
      </c>
      <c r="B984" s="2">
        <v>46187</v>
      </c>
      <c r="C984" t="s">
        <v>19</v>
      </c>
      <c r="D984" t="s">
        <v>20</v>
      </c>
      <c r="E984" t="s">
        <v>24</v>
      </c>
      <c r="F984">
        <v>25</v>
      </c>
      <c r="G984" t="s">
        <v>13</v>
      </c>
      <c r="H984" s="2">
        <v>46188</v>
      </c>
      <c r="I984" s="2">
        <v>46188</v>
      </c>
    </row>
    <row r="985" spans="1:9" x14ac:dyDescent="0.35">
      <c r="A985" t="s">
        <v>1011</v>
      </c>
      <c r="B985" s="2">
        <v>46127</v>
      </c>
      <c r="C985" t="s">
        <v>15</v>
      </c>
      <c r="D985" t="s">
        <v>16</v>
      </c>
      <c r="E985" t="s">
        <v>55</v>
      </c>
      <c r="F985">
        <v>10</v>
      </c>
      <c r="G985" t="s">
        <v>26</v>
      </c>
      <c r="H985" s="2">
        <v>46128</v>
      </c>
    </row>
    <row r="986" spans="1:9" x14ac:dyDescent="0.35">
      <c r="A986" t="s">
        <v>1012</v>
      </c>
      <c r="B986" s="2">
        <v>46136</v>
      </c>
      <c r="C986" t="s">
        <v>15</v>
      </c>
      <c r="D986" t="s">
        <v>16</v>
      </c>
      <c r="E986" t="s">
        <v>22</v>
      </c>
      <c r="F986">
        <v>27</v>
      </c>
      <c r="G986" t="s">
        <v>13</v>
      </c>
      <c r="H986" s="2">
        <v>46138</v>
      </c>
      <c r="I986" s="2">
        <v>46138</v>
      </c>
    </row>
    <row r="987" spans="1:9" x14ac:dyDescent="0.35">
      <c r="A987" t="s">
        <v>1013</v>
      </c>
      <c r="B987" s="2">
        <v>46150</v>
      </c>
      <c r="C987" t="s">
        <v>10</v>
      </c>
      <c r="D987" t="s">
        <v>11</v>
      </c>
      <c r="E987" t="s">
        <v>12</v>
      </c>
      <c r="F987">
        <v>13</v>
      </c>
      <c r="G987" t="s">
        <v>13</v>
      </c>
      <c r="H987" s="2">
        <v>46152</v>
      </c>
      <c r="I987" s="2">
        <v>46151</v>
      </c>
    </row>
    <row r="988" spans="1:9" x14ac:dyDescent="0.35">
      <c r="A988" t="s">
        <v>1014</v>
      </c>
      <c r="B988" s="2">
        <v>46147</v>
      </c>
      <c r="C988" t="s">
        <v>34</v>
      </c>
      <c r="D988" t="s">
        <v>35</v>
      </c>
      <c r="E988" t="s">
        <v>24</v>
      </c>
      <c r="F988">
        <v>19</v>
      </c>
      <c r="G988" t="s">
        <v>13</v>
      </c>
      <c r="H988" s="2">
        <v>46150</v>
      </c>
      <c r="I988" s="2">
        <v>46150</v>
      </c>
    </row>
    <row r="989" spans="1:9" x14ac:dyDescent="0.35">
      <c r="A989" t="s">
        <v>1015</v>
      </c>
      <c r="B989" s="2">
        <v>46161</v>
      </c>
      <c r="C989" t="s">
        <v>34</v>
      </c>
      <c r="D989" t="s">
        <v>35</v>
      </c>
      <c r="E989" t="s">
        <v>22</v>
      </c>
      <c r="F989">
        <v>11</v>
      </c>
      <c r="G989" t="s">
        <v>13</v>
      </c>
      <c r="H989" s="2">
        <v>46162</v>
      </c>
      <c r="I989" s="2">
        <v>46162</v>
      </c>
    </row>
    <row r="990" spans="1:9" x14ac:dyDescent="0.35">
      <c r="A990" t="s">
        <v>1016</v>
      </c>
      <c r="B990" s="2">
        <v>46181</v>
      </c>
      <c r="C990" t="s">
        <v>10</v>
      </c>
      <c r="D990" t="s">
        <v>11</v>
      </c>
      <c r="E990" t="s">
        <v>55</v>
      </c>
      <c r="F990">
        <v>13</v>
      </c>
      <c r="G990" t="s">
        <v>26</v>
      </c>
      <c r="H990" s="2">
        <v>46183</v>
      </c>
    </row>
    <row r="991" spans="1:9" x14ac:dyDescent="0.35">
      <c r="A991" t="s">
        <v>1017</v>
      </c>
      <c r="B991" s="2">
        <v>46174</v>
      </c>
      <c r="C991" t="s">
        <v>15</v>
      </c>
      <c r="D991" t="s">
        <v>16</v>
      </c>
      <c r="E991" t="s">
        <v>12</v>
      </c>
      <c r="F991">
        <v>21</v>
      </c>
      <c r="G991" t="s">
        <v>13</v>
      </c>
      <c r="H991" s="2">
        <v>46175</v>
      </c>
      <c r="I991" s="2">
        <v>46174</v>
      </c>
    </row>
    <row r="992" spans="1:9" x14ac:dyDescent="0.35">
      <c r="A992" t="s">
        <v>1018</v>
      </c>
      <c r="B992" s="2">
        <v>46172</v>
      </c>
      <c r="C992" t="s">
        <v>15</v>
      </c>
      <c r="D992" t="s">
        <v>16</v>
      </c>
      <c r="E992" t="s">
        <v>22</v>
      </c>
      <c r="F992">
        <v>8</v>
      </c>
      <c r="G992" t="s">
        <v>13</v>
      </c>
      <c r="H992" s="2">
        <v>46174</v>
      </c>
      <c r="I992" s="2">
        <v>46174</v>
      </c>
    </row>
    <row r="993" spans="1:9" x14ac:dyDescent="0.35">
      <c r="A993" t="s">
        <v>1019</v>
      </c>
      <c r="B993" s="2">
        <v>46162</v>
      </c>
      <c r="C993" t="s">
        <v>34</v>
      </c>
      <c r="D993" t="s">
        <v>35</v>
      </c>
      <c r="E993" t="s">
        <v>43</v>
      </c>
      <c r="F993">
        <v>8</v>
      </c>
      <c r="G993" t="s">
        <v>62</v>
      </c>
      <c r="H993" s="2">
        <v>46163</v>
      </c>
      <c r="I993" s="2">
        <v>46167</v>
      </c>
    </row>
    <row r="994" spans="1:9" x14ac:dyDescent="0.35">
      <c r="A994" t="s">
        <v>1020</v>
      </c>
      <c r="B994" s="2">
        <v>46190</v>
      </c>
      <c r="C994" t="s">
        <v>10</v>
      </c>
      <c r="D994" t="s">
        <v>11</v>
      </c>
      <c r="E994" t="s">
        <v>17</v>
      </c>
      <c r="F994">
        <v>4</v>
      </c>
      <c r="G994" t="s">
        <v>13</v>
      </c>
      <c r="H994" s="2">
        <v>46194</v>
      </c>
      <c r="I994" s="2">
        <v>46194</v>
      </c>
    </row>
    <row r="995" spans="1:9" x14ac:dyDescent="0.35">
      <c r="A995" t="s">
        <v>1021</v>
      </c>
      <c r="B995" s="2">
        <v>46187</v>
      </c>
      <c r="C995" t="s">
        <v>10</v>
      </c>
      <c r="D995" t="s">
        <v>11</v>
      </c>
      <c r="E995" t="s">
        <v>43</v>
      </c>
      <c r="F995">
        <v>15</v>
      </c>
      <c r="G995" t="s">
        <v>13</v>
      </c>
      <c r="H995" s="2">
        <v>46190</v>
      </c>
      <c r="I995" s="2">
        <v>46190</v>
      </c>
    </row>
    <row r="996" spans="1:9" x14ac:dyDescent="0.35">
      <c r="A996" t="s">
        <v>1022</v>
      </c>
      <c r="B996" s="2">
        <v>46121</v>
      </c>
      <c r="C996" t="s">
        <v>15</v>
      </c>
      <c r="D996" t="s">
        <v>16</v>
      </c>
      <c r="E996" t="s">
        <v>32</v>
      </c>
      <c r="F996">
        <v>28</v>
      </c>
      <c r="G996" t="s">
        <v>13</v>
      </c>
      <c r="H996" s="2">
        <v>46122</v>
      </c>
      <c r="I996" s="2">
        <v>46122</v>
      </c>
    </row>
    <row r="997" spans="1:9" x14ac:dyDescent="0.35">
      <c r="A997" t="s">
        <v>1023</v>
      </c>
      <c r="B997" s="2">
        <v>46146</v>
      </c>
      <c r="C997" t="s">
        <v>34</v>
      </c>
      <c r="D997" t="s">
        <v>35</v>
      </c>
      <c r="E997" t="s">
        <v>32</v>
      </c>
      <c r="F997">
        <v>11</v>
      </c>
      <c r="G997" t="s">
        <v>62</v>
      </c>
      <c r="H997" s="2">
        <v>46150</v>
      </c>
      <c r="I997" s="2">
        <v>46153</v>
      </c>
    </row>
    <row r="998" spans="1:9" x14ac:dyDescent="0.35">
      <c r="A998" t="s">
        <v>1024</v>
      </c>
      <c r="B998" s="2">
        <v>46188</v>
      </c>
      <c r="C998" t="s">
        <v>15</v>
      </c>
      <c r="D998" t="s">
        <v>16</v>
      </c>
      <c r="E998" t="s">
        <v>22</v>
      </c>
      <c r="F998">
        <v>11</v>
      </c>
      <c r="G998" t="s">
        <v>13</v>
      </c>
      <c r="H998" s="2">
        <v>46189</v>
      </c>
      <c r="I998" s="2">
        <v>46189</v>
      </c>
    </row>
    <row r="999" spans="1:9" x14ac:dyDescent="0.35">
      <c r="A999" t="s">
        <v>1025</v>
      </c>
      <c r="B999" s="2">
        <v>46147</v>
      </c>
      <c r="C999" t="s">
        <v>15</v>
      </c>
      <c r="D999" t="s">
        <v>16</v>
      </c>
      <c r="E999" t="s">
        <v>17</v>
      </c>
      <c r="F999">
        <v>1</v>
      </c>
      <c r="G999" t="s">
        <v>13</v>
      </c>
      <c r="H999" s="2">
        <v>46148</v>
      </c>
      <c r="I999" s="2">
        <v>46148</v>
      </c>
    </row>
    <row r="1000" spans="1:9" x14ac:dyDescent="0.35">
      <c r="A1000" t="s">
        <v>1026</v>
      </c>
      <c r="B1000" s="2">
        <v>46113</v>
      </c>
      <c r="C1000" t="s">
        <v>19</v>
      </c>
      <c r="D1000" t="s">
        <v>20</v>
      </c>
      <c r="E1000" t="s">
        <v>24</v>
      </c>
      <c r="F1000">
        <v>17</v>
      </c>
      <c r="G1000" t="s">
        <v>13</v>
      </c>
      <c r="H1000" s="2">
        <v>46117</v>
      </c>
      <c r="I1000" s="2">
        <v>46116</v>
      </c>
    </row>
    <row r="1001" spans="1:9" x14ac:dyDescent="0.35">
      <c r="A1001" t="s">
        <v>1027</v>
      </c>
      <c r="B1001" s="2">
        <v>46152</v>
      </c>
      <c r="C1001" t="s">
        <v>15</v>
      </c>
      <c r="D1001" t="s">
        <v>16</v>
      </c>
      <c r="E1001" t="s">
        <v>43</v>
      </c>
      <c r="F1001">
        <v>15</v>
      </c>
      <c r="G1001" t="s">
        <v>13</v>
      </c>
      <c r="H1001" s="2">
        <v>46153</v>
      </c>
      <c r="I1001" s="2">
        <v>46153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C7C-A038-4D39-B92E-E8DD9186EE1E}">
  <sheetPr codeName="Sheet5"/>
  <dimension ref="A1:H33"/>
  <sheetViews>
    <sheetView workbookViewId="0"/>
  </sheetViews>
  <sheetFormatPr defaultRowHeight="14.5" x14ac:dyDescent="0.35"/>
  <cols>
    <col min="1" max="1" width="9.7265625" bestFit="1" customWidth="1"/>
    <col min="2" max="2" width="12.7265625" bestFit="1" customWidth="1"/>
    <col min="3" max="3" width="15.7265625" bestFit="1" customWidth="1"/>
    <col min="4" max="4" width="10.26953125" bestFit="1" customWidth="1"/>
    <col min="5" max="5" width="11.81640625" bestFit="1" customWidth="1"/>
    <col min="6" max="6" width="14.54296875" bestFit="1" customWidth="1"/>
    <col min="7" max="7" width="15" bestFit="1" customWidth="1"/>
    <col min="8" max="8" width="13.90625" bestFit="1" customWidth="1"/>
  </cols>
  <sheetData>
    <row r="1" spans="1:8" x14ac:dyDescent="0.35">
      <c r="A1" t="s">
        <v>4</v>
      </c>
      <c r="B1" t="s">
        <v>3</v>
      </c>
      <c r="C1" t="s">
        <v>1028</v>
      </c>
      <c r="D1" t="s">
        <v>1029</v>
      </c>
      <c r="E1" t="s">
        <v>1030</v>
      </c>
      <c r="F1" t="s">
        <v>1031</v>
      </c>
      <c r="G1" t="s">
        <v>1032</v>
      </c>
      <c r="H1" t="s">
        <v>1345</v>
      </c>
    </row>
    <row r="2" spans="1:8" x14ac:dyDescent="0.35">
      <c r="A2" t="s">
        <v>24</v>
      </c>
      <c r="B2" t="s">
        <v>16</v>
      </c>
      <c r="C2">
        <v>127</v>
      </c>
      <c r="D2">
        <v>32</v>
      </c>
      <c r="E2">
        <v>135</v>
      </c>
      <c r="F2">
        <v>24</v>
      </c>
      <c r="G2">
        <v>96</v>
      </c>
      <c r="H2" t="s">
        <v>1346</v>
      </c>
    </row>
    <row r="3" spans="1:8" x14ac:dyDescent="0.35">
      <c r="A3" t="s">
        <v>46</v>
      </c>
      <c r="B3" t="s">
        <v>16</v>
      </c>
      <c r="C3">
        <v>178</v>
      </c>
      <c r="D3">
        <v>145</v>
      </c>
      <c r="E3">
        <v>33</v>
      </c>
      <c r="F3">
        <v>290</v>
      </c>
      <c r="G3">
        <v>112</v>
      </c>
      <c r="H3" t="s">
        <v>1347</v>
      </c>
    </row>
    <row r="4" spans="1:8" x14ac:dyDescent="0.35">
      <c r="A4" t="s">
        <v>55</v>
      </c>
      <c r="B4" t="s">
        <v>16</v>
      </c>
      <c r="C4">
        <v>332</v>
      </c>
      <c r="D4">
        <v>90</v>
      </c>
      <c r="E4">
        <v>178</v>
      </c>
      <c r="F4">
        <v>244</v>
      </c>
      <c r="G4">
        <v>144</v>
      </c>
      <c r="H4" t="s">
        <v>1347</v>
      </c>
    </row>
    <row r="5" spans="1:8" x14ac:dyDescent="0.35">
      <c r="A5" t="s">
        <v>22</v>
      </c>
      <c r="B5" t="s">
        <v>16</v>
      </c>
      <c r="C5">
        <v>352</v>
      </c>
      <c r="D5">
        <v>153</v>
      </c>
      <c r="E5">
        <v>43</v>
      </c>
      <c r="F5">
        <v>462</v>
      </c>
      <c r="G5">
        <v>72</v>
      </c>
      <c r="H5" t="s">
        <v>1347</v>
      </c>
    </row>
    <row r="6" spans="1:8" x14ac:dyDescent="0.35">
      <c r="A6" t="s">
        <v>32</v>
      </c>
      <c r="B6" t="s">
        <v>16</v>
      </c>
      <c r="C6">
        <v>129</v>
      </c>
      <c r="D6">
        <v>108</v>
      </c>
      <c r="E6">
        <v>98</v>
      </c>
      <c r="F6">
        <v>139</v>
      </c>
      <c r="G6">
        <v>119</v>
      </c>
      <c r="H6" t="s">
        <v>1347</v>
      </c>
    </row>
    <row r="7" spans="1:8" x14ac:dyDescent="0.35">
      <c r="A7" t="s">
        <v>43</v>
      </c>
      <c r="B7" t="s">
        <v>16</v>
      </c>
      <c r="C7">
        <v>106</v>
      </c>
      <c r="D7">
        <v>44</v>
      </c>
      <c r="E7">
        <v>69</v>
      </c>
      <c r="F7">
        <v>81</v>
      </c>
      <c r="G7">
        <v>85</v>
      </c>
      <c r="H7" t="s">
        <v>1346</v>
      </c>
    </row>
    <row r="8" spans="1:8" x14ac:dyDescent="0.35">
      <c r="A8" t="s">
        <v>12</v>
      </c>
      <c r="B8" t="s">
        <v>16</v>
      </c>
      <c r="C8">
        <v>326</v>
      </c>
      <c r="D8">
        <v>37</v>
      </c>
      <c r="E8">
        <v>98</v>
      </c>
      <c r="F8">
        <v>265</v>
      </c>
      <c r="G8">
        <v>52</v>
      </c>
      <c r="H8" t="s">
        <v>1347</v>
      </c>
    </row>
    <row r="9" spans="1:8" x14ac:dyDescent="0.35">
      <c r="A9" t="s">
        <v>17</v>
      </c>
      <c r="B9" t="s">
        <v>16</v>
      </c>
      <c r="C9">
        <v>269</v>
      </c>
      <c r="D9">
        <v>76</v>
      </c>
      <c r="E9">
        <v>124</v>
      </c>
      <c r="F9">
        <v>221</v>
      </c>
      <c r="G9">
        <v>147</v>
      </c>
      <c r="H9" t="s">
        <v>1347</v>
      </c>
    </row>
    <row r="10" spans="1:8" x14ac:dyDescent="0.35">
      <c r="A10" t="s">
        <v>24</v>
      </c>
      <c r="B10" t="s">
        <v>35</v>
      </c>
      <c r="C10">
        <v>268</v>
      </c>
      <c r="D10">
        <v>189</v>
      </c>
      <c r="E10">
        <v>135</v>
      </c>
      <c r="F10">
        <v>322</v>
      </c>
      <c r="G10">
        <v>62</v>
      </c>
      <c r="H10" t="s">
        <v>1347</v>
      </c>
    </row>
    <row r="11" spans="1:8" x14ac:dyDescent="0.35">
      <c r="A11" t="s">
        <v>46</v>
      </c>
      <c r="B11" t="s">
        <v>35</v>
      </c>
      <c r="C11">
        <v>80</v>
      </c>
      <c r="D11">
        <v>63</v>
      </c>
      <c r="E11">
        <v>209</v>
      </c>
      <c r="F11">
        <v>0</v>
      </c>
      <c r="G11">
        <v>128</v>
      </c>
      <c r="H11" t="s">
        <v>1348</v>
      </c>
    </row>
    <row r="12" spans="1:8" x14ac:dyDescent="0.35">
      <c r="A12" t="s">
        <v>55</v>
      </c>
      <c r="B12" t="s">
        <v>35</v>
      </c>
      <c r="C12">
        <v>315</v>
      </c>
      <c r="D12">
        <v>107</v>
      </c>
      <c r="E12">
        <v>140</v>
      </c>
      <c r="F12">
        <v>282</v>
      </c>
      <c r="G12">
        <v>142</v>
      </c>
      <c r="H12" t="s">
        <v>1347</v>
      </c>
    </row>
    <row r="13" spans="1:8" x14ac:dyDescent="0.35">
      <c r="A13" t="s">
        <v>22</v>
      </c>
      <c r="B13" t="s">
        <v>35</v>
      </c>
      <c r="C13">
        <v>177</v>
      </c>
      <c r="D13">
        <v>111</v>
      </c>
      <c r="E13">
        <v>218</v>
      </c>
      <c r="F13">
        <v>70</v>
      </c>
      <c r="G13">
        <v>142</v>
      </c>
      <c r="H13" t="s">
        <v>1346</v>
      </c>
    </row>
    <row r="14" spans="1:8" x14ac:dyDescent="0.35">
      <c r="A14" t="s">
        <v>32</v>
      </c>
      <c r="B14" t="s">
        <v>35</v>
      </c>
      <c r="C14">
        <v>271</v>
      </c>
      <c r="D14">
        <v>182</v>
      </c>
      <c r="E14">
        <v>57</v>
      </c>
      <c r="F14">
        <v>396</v>
      </c>
      <c r="G14">
        <v>63</v>
      </c>
      <c r="H14" t="s">
        <v>1347</v>
      </c>
    </row>
    <row r="15" spans="1:8" x14ac:dyDescent="0.35">
      <c r="A15" t="s">
        <v>43</v>
      </c>
      <c r="B15" t="s">
        <v>35</v>
      </c>
      <c r="C15">
        <v>389</v>
      </c>
      <c r="D15">
        <v>159</v>
      </c>
      <c r="E15">
        <v>120</v>
      </c>
      <c r="F15">
        <v>428</v>
      </c>
      <c r="G15">
        <v>127</v>
      </c>
      <c r="H15" t="s">
        <v>1347</v>
      </c>
    </row>
    <row r="16" spans="1:8" x14ac:dyDescent="0.35">
      <c r="A16" t="s">
        <v>12</v>
      </c>
      <c r="B16" t="s">
        <v>35</v>
      </c>
      <c r="C16">
        <v>168</v>
      </c>
      <c r="D16">
        <v>85</v>
      </c>
      <c r="E16">
        <v>113</v>
      </c>
      <c r="F16">
        <v>140</v>
      </c>
      <c r="G16">
        <v>142</v>
      </c>
      <c r="H16" t="s">
        <v>1346</v>
      </c>
    </row>
    <row r="17" spans="1:8" x14ac:dyDescent="0.35">
      <c r="A17" t="s">
        <v>17</v>
      </c>
      <c r="B17" t="s">
        <v>35</v>
      </c>
      <c r="C17">
        <v>164</v>
      </c>
      <c r="D17">
        <v>51</v>
      </c>
      <c r="E17">
        <v>54</v>
      </c>
      <c r="F17">
        <v>161</v>
      </c>
      <c r="G17">
        <v>150</v>
      </c>
      <c r="H17" t="s">
        <v>1347</v>
      </c>
    </row>
    <row r="18" spans="1:8" x14ac:dyDescent="0.35">
      <c r="A18" t="s">
        <v>24</v>
      </c>
      <c r="B18" t="s">
        <v>11</v>
      </c>
      <c r="C18">
        <v>351</v>
      </c>
      <c r="D18">
        <v>79</v>
      </c>
      <c r="E18">
        <v>141</v>
      </c>
      <c r="F18">
        <v>289</v>
      </c>
      <c r="G18">
        <v>92</v>
      </c>
      <c r="H18" t="s">
        <v>1347</v>
      </c>
    </row>
    <row r="19" spans="1:8" x14ac:dyDescent="0.35">
      <c r="A19" t="s">
        <v>46</v>
      </c>
      <c r="B19" t="s">
        <v>11</v>
      </c>
      <c r="C19">
        <v>352</v>
      </c>
      <c r="D19">
        <v>109</v>
      </c>
      <c r="E19">
        <v>205</v>
      </c>
      <c r="F19">
        <v>256</v>
      </c>
      <c r="G19">
        <v>51</v>
      </c>
      <c r="H19" t="s">
        <v>1347</v>
      </c>
    </row>
    <row r="20" spans="1:8" x14ac:dyDescent="0.35">
      <c r="A20" t="s">
        <v>55</v>
      </c>
      <c r="B20" t="s">
        <v>11</v>
      </c>
      <c r="C20">
        <v>211</v>
      </c>
      <c r="D20">
        <v>114</v>
      </c>
      <c r="E20">
        <v>186</v>
      </c>
      <c r="F20">
        <v>139</v>
      </c>
      <c r="G20">
        <v>147</v>
      </c>
      <c r="H20" t="s">
        <v>1346</v>
      </c>
    </row>
    <row r="21" spans="1:8" x14ac:dyDescent="0.35">
      <c r="A21" t="s">
        <v>22</v>
      </c>
      <c r="B21" t="s">
        <v>11</v>
      </c>
      <c r="C21">
        <v>160</v>
      </c>
      <c r="D21">
        <v>98</v>
      </c>
      <c r="E21">
        <v>88</v>
      </c>
      <c r="F21">
        <v>170</v>
      </c>
      <c r="G21">
        <v>69</v>
      </c>
      <c r="H21" t="s">
        <v>1347</v>
      </c>
    </row>
    <row r="22" spans="1:8" x14ac:dyDescent="0.35">
      <c r="A22" t="s">
        <v>32</v>
      </c>
      <c r="B22" t="s">
        <v>11</v>
      </c>
      <c r="C22">
        <v>95</v>
      </c>
      <c r="D22">
        <v>80</v>
      </c>
      <c r="E22">
        <v>124</v>
      </c>
      <c r="F22">
        <v>51</v>
      </c>
      <c r="G22">
        <v>86</v>
      </c>
      <c r="H22" t="s">
        <v>1346</v>
      </c>
    </row>
    <row r="23" spans="1:8" x14ac:dyDescent="0.35">
      <c r="A23" t="s">
        <v>43</v>
      </c>
      <c r="B23" t="s">
        <v>11</v>
      </c>
      <c r="C23">
        <v>280</v>
      </c>
      <c r="D23">
        <v>199</v>
      </c>
      <c r="E23">
        <v>204</v>
      </c>
      <c r="F23">
        <v>275</v>
      </c>
      <c r="G23">
        <v>115</v>
      </c>
      <c r="H23" t="s">
        <v>1347</v>
      </c>
    </row>
    <row r="24" spans="1:8" x14ac:dyDescent="0.35">
      <c r="A24" t="s">
        <v>12</v>
      </c>
      <c r="B24" t="s">
        <v>11</v>
      </c>
      <c r="C24">
        <v>344</v>
      </c>
      <c r="D24">
        <v>136</v>
      </c>
      <c r="E24">
        <v>119</v>
      </c>
      <c r="F24">
        <v>361</v>
      </c>
      <c r="G24">
        <v>135</v>
      </c>
      <c r="H24" t="s">
        <v>1347</v>
      </c>
    </row>
    <row r="25" spans="1:8" x14ac:dyDescent="0.35">
      <c r="A25" t="s">
        <v>17</v>
      </c>
      <c r="B25" t="s">
        <v>11</v>
      </c>
      <c r="C25">
        <v>399</v>
      </c>
      <c r="D25">
        <v>51</v>
      </c>
      <c r="E25">
        <v>181</v>
      </c>
      <c r="F25">
        <v>269</v>
      </c>
      <c r="G25">
        <v>104</v>
      </c>
      <c r="H25" t="s">
        <v>1347</v>
      </c>
    </row>
    <row r="26" spans="1:8" x14ac:dyDescent="0.35">
      <c r="A26" t="s">
        <v>24</v>
      </c>
      <c r="B26" t="s">
        <v>20</v>
      </c>
      <c r="C26">
        <v>236</v>
      </c>
      <c r="D26">
        <v>195</v>
      </c>
      <c r="E26">
        <v>129</v>
      </c>
      <c r="F26">
        <v>302</v>
      </c>
      <c r="G26">
        <v>146</v>
      </c>
      <c r="H26" t="s">
        <v>1347</v>
      </c>
    </row>
    <row r="27" spans="1:8" x14ac:dyDescent="0.35">
      <c r="A27" t="s">
        <v>46</v>
      </c>
      <c r="B27" t="s">
        <v>20</v>
      </c>
      <c r="C27">
        <v>97</v>
      </c>
      <c r="D27">
        <v>100</v>
      </c>
      <c r="E27">
        <v>212</v>
      </c>
      <c r="F27">
        <v>0</v>
      </c>
      <c r="G27">
        <v>146</v>
      </c>
      <c r="H27" t="s">
        <v>1348</v>
      </c>
    </row>
    <row r="28" spans="1:8" x14ac:dyDescent="0.35">
      <c r="A28" t="s">
        <v>55</v>
      </c>
      <c r="B28" t="s">
        <v>20</v>
      </c>
      <c r="C28">
        <v>80</v>
      </c>
      <c r="D28">
        <v>161</v>
      </c>
      <c r="E28">
        <v>23</v>
      </c>
      <c r="F28">
        <v>218</v>
      </c>
      <c r="G28">
        <v>131</v>
      </c>
      <c r="H28" t="s">
        <v>1347</v>
      </c>
    </row>
    <row r="29" spans="1:8" x14ac:dyDescent="0.35">
      <c r="A29" t="s">
        <v>22</v>
      </c>
      <c r="B29" t="s">
        <v>20</v>
      </c>
      <c r="C29">
        <v>362</v>
      </c>
      <c r="D29">
        <v>200</v>
      </c>
      <c r="E29">
        <v>78</v>
      </c>
      <c r="F29">
        <v>484</v>
      </c>
      <c r="G29">
        <v>81</v>
      </c>
      <c r="H29" t="s">
        <v>1347</v>
      </c>
    </row>
    <row r="30" spans="1:8" x14ac:dyDescent="0.35">
      <c r="A30" t="s">
        <v>32</v>
      </c>
      <c r="B30" t="s">
        <v>20</v>
      </c>
      <c r="C30">
        <v>240</v>
      </c>
      <c r="D30">
        <v>57</v>
      </c>
      <c r="E30">
        <v>125</v>
      </c>
      <c r="F30">
        <v>172</v>
      </c>
      <c r="G30">
        <v>104</v>
      </c>
      <c r="H30" t="s">
        <v>1347</v>
      </c>
    </row>
    <row r="31" spans="1:8" x14ac:dyDescent="0.35">
      <c r="A31" t="s">
        <v>43</v>
      </c>
      <c r="B31" t="s">
        <v>20</v>
      </c>
      <c r="C31">
        <v>307</v>
      </c>
      <c r="D31">
        <v>99</v>
      </c>
      <c r="E31">
        <v>81</v>
      </c>
      <c r="F31">
        <v>325</v>
      </c>
      <c r="G31">
        <v>129</v>
      </c>
      <c r="H31" t="s">
        <v>1347</v>
      </c>
    </row>
    <row r="32" spans="1:8" x14ac:dyDescent="0.35">
      <c r="A32" t="s">
        <v>12</v>
      </c>
      <c r="B32" t="s">
        <v>20</v>
      </c>
      <c r="C32">
        <v>369</v>
      </c>
      <c r="D32">
        <v>116</v>
      </c>
      <c r="E32">
        <v>133</v>
      </c>
      <c r="F32">
        <v>352</v>
      </c>
      <c r="G32">
        <v>137</v>
      </c>
      <c r="H32" t="s">
        <v>1347</v>
      </c>
    </row>
    <row r="33" spans="1:8" x14ac:dyDescent="0.35">
      <c r="A33" t="s">
        <v>17</v>
      </c>
      <c r="B33" t="s">
        <v>20</v>
      </c>
      <c r="C33">
        <v>135</v>
      </c>
      <c r="D33">
        <v>142</v>
      </c>
      <c r="E33">
        <v>32</v>
      </c>
      <c r="F33">
        <v>245</v>
      </c>
      <c r="G33">
        <v>105</v>
      </c>
      <c r="H33" t="s">
        <v>1347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G33"/>
  <sheetViews>
    <sheetView workbookViewId="0">
      <selection activeCell="A2" sqref="A2"/>
    </sheetView>
  </sheetViews>
  <sheetFormatPr defaultRowHeight="14.5" x14ac:dyDescent="0.35"/>
  <cols>
    <col min="1" max="1" width="12" bestFit="1" customWidth="1"/>
    <col min="2" max="2" width="15" bestFit="1" customWidth="1"/>
    <col min="3" max="3" width="18" bestFit="1" customWidth="1"/>
    <col min="4" max="4" width="12.54296875" bestFit="1" customWidth="1"/>
    <col min="5" max="5" width="14.08984375" bestFit="1" customWidth="1"/>
    <col min="6" max="6" width="16.81640625" bestFit="1" customWidth="1"/>
    <col min="7" max="7" width="17.26953125" bestFit="1" customWidth="1"/>
  </cols>
  <sheetData>
    <row r="1" spans="1:7" x14ac:dyDescent="0.35">
      <c r="A1" s="1" t="s">
        <v>4</v>
      </c>
      <c r="B1" s="1" t="s">
        <v>3</v>
      </c>
      <c r="C1" s="1" t="s">
        <v>1028</v>
      </c>
      <c r="D1" s="1" t="s">
        <v>1029</v>
      </c>
      <c r="E1" s="1" t="s">
        <v>1030</v>
      </c>
      <c r="F1" s="1" t="s">
        <v>1031</v>
      </c>
      <c r="G1" s="1" t="s">
        <v>1032</v>
      </c>
    </row>
    <row r="2" spans="1:7" x14ac:dyDescent="0.35">
      <c r="A2" t="s">
        <v>24</v>
      </c>
      <c r="B2" t="s">
        <v>16</v>
      </c>
      <c r="C2">
        <v>127</v>
      </c>
      <c r="D2">
        <v>32</v>
      </c>
      <c r="E2">
        <v>135</v>
      </c>
      <c r="F2">
        <v>24</v>
      </c>
      <c r="G2">
        <v>96</v>
      </c>
    </row>
    <row r="3" spans="1:7" x14ac:dyDescent="0.35">
      <c r="A3" t="s">
        <v>46</v>
      </c>
      <c r="B3" t="s">
        <v>16</v>
      </c>
      <c r="C3">
        <v>178</v>
      </c>
      <c r="D3">
        <v>145</v>
      </c>
      <c r="E3">
        <v>33</v>
      </c>
      <c r="F3">
        <v>290</v>
      </c>
      <c r="G3">
        <v>112</v>
      </c>
    </row>
    <row r="4" spans="1:7" x14ac:dyDescent="0.35">
      <c r="A4" t="s">
        <v>55</v>
      </c>
      <c r="B4" t="s">
        <v>16</v>
      </c>
      <c r="C4">
        <v>332</v>
      </c>
      <c r="D4">
        <v>90</v>
      </c>
      <c r="E4">
        <v>178</v>
      </c>
      <c r="F4">
        <v>244</v>
      </c>
      <c r="G4">
        <v>144</v>
      </c>
    </row>
    <row r="5" spans="1:7" x14ac:dyDescent="0.35">
      <c r="A5" t="s">
        <v>22</v>
      </c>
      <c r="B5" t="s">
        <v>16</v>
      </c>
      <c r="C5">
        <v>352</v>
      </c>
      <c r="D5">
        <v>153</v>
      </c>
      <c r="E5">
        <v>43</v>
      </c>
      <c r="F5">
        <v>462</v>
      </c>
      <c r="G5">
        <v>72</v>
      </c>
    </row>
    <row r="6" spans="1:7" x14ac:dyDescent="0.35">
      <c r="A6" t="s">
        <v>32</v>
      </c>
      <c r="B6" t="s">
        <v>16</v>
      </c>
      <c r="C6">
        <v>129</v>
      </c>
      <c r="D6">
        <v>108</v>
      </c>
      <c r="E6">
        <v>98</v>
      </c>
      <c r="F6">
        <v>139</v>
      </c>
      <c r="G6">
        <v>119</v>
      </c>
    </row>
    <row r="7" spans="1:7" x14ac:dyDescent="0.35">
      <c r="A7" t="s">
        <v>43</v>
      </c>
      <c r="B7" t="s">
        <v>16</v>
      </c>
      <c r="C7">
        <v>106</v>
      </c>
      <c r="D7">
        <v>44</v>
      </c>
      <c r="E7">
        <v>69</v>
      </c>
      <c r="F7">
        <v>81</v>
      </c>
      <c r="G7">
        <v>85</v>
      </c>
    </row>
    <row r="8" spans="1:7" x14ac:dyDescent="0.35">
      <c r="A8" t="s">
        <v>12</v>
      </c>
      <c r="B8" t="s">
        <v>16</v>
      </c>
      <c r="C8">
        <v>326</v>
      </c>
      <c r="D8">
        <v>37</v>
      </c>
      <c r="E8">
        <v>98</v>
      </c>
      <c r="F8">
        <v>265</v>
      </c>
      <c r="G8">
        <v>52</v>
      </c>
    </row>
    <row r="9" spans="1:7" x14ac:dyDescent="0.35">
      <c r="A9" t="s">
        <v>17</v>
      </c>
      <c r="B9" t="s">
        <v>16</v>
      </c>
      <c r="C9">
        <v>269</v>
      </c>
      <c r="D9">
        <v>76</v>
      </c>
      <c r="E9">
        <v>124</v>
      </c>
      <c r="F9">
        <v>221</v>
      </c>
      <c r="G9">
        <v>147</v>
      </c>
    </row>
    <row r="10" spans="1:7" x14ac:dyDescent="0.35">
      <c r="A10" t="s">
        <v>24</v>
      </c>
      <c r="B10" t="s">
        <v>35</v>
      </c>
      <c r="C10">
        <v>268</v>
      </c>
      <c r="D10">
        <v>189</v>
      </c>
      <c r="E10">
        <v>135</v>
      </c>
      <c r="F10">
        <v>322</v>
      </c>
      <c r="G10">
        <v>62</v>
      </c>
    </row>
    <row r="11" spans="1:7" x14ac:dyDescent="0.35">
      <c r="A11" t="s">
        <v>46</v>
      </c>
      <c r="B11" t="s">
        <v>35</v>
      </c>
      <c r="C11">
        <v>80</v>
      </c>
      <c r="D11">
        <v>63</v>
      </c>
      <c r="E11">
        <v>209</v>
      </c>
      <c r="F11">
        <v>0</v>
      </c>
      <c r="G11">
        <v>128</v>
      </c>
    </row>
    <row r="12" spans="1:7" x14ac:dyDescent="0.35">
      <c r="A12" t="s">
        <v>55</v>
      </c>
      <c r="B12" t="s">
        <v>35</v>
      </c>
      <c r="C12">
        <v>315</v>
      </c>
      <c r="D12">
        <v>107</v>
      </c>
      <c r="E12">
        <v>140</v>
      </c>
      <c r="F12">
        <v>282</v>
      </c>
      <c r="G12">
        <v>142</v>
      </c>
    </row>
    <row r="13" spans="1:7" x14ac:dyDescent="0.35">
      <c r="A13" t="s">
        <v>22</v>
      </c>
      <c r="B13" t="s">
        <v>35</v>
      </c>
      <c r="C13">
        <v>177</v>
      </c>
      <c r="D13">
        <v>111</v>
      </c>
      <c r="E13">
        <v>218</v>
      </c>
      <c r="F13">
        <v>70</v>
      </c>
      <c r="G13">
        <v>142</v>
      </c>
    </row>
    <row r="14" spans="1:7" x14ac:dyDescent="0.35">
      <c r="A14" t="s">
        <v>32</v>
      </c>
      <c r="B14" t="s">
        <v>35</v>
      </c>
      <c r="C14">
        <v>271</v>
      </c>
      <c r="D14">
        <v>182</v>
      </c>
      <c r="E14">
        <v>57</v>
      </c>
      <c r="F14">
        <v>396</v>
      </c>
      <c r="G14">
        <v>63</v>
      </c>
    </row>
    <row r="15" spans="1:7" x14ac:dyDescent="0.35">
      <c r="A15" t="s">
        <v>43</v>
      </c>
      <c r="B15" t="s">
        <v>35</v>
      </c>
      <c r="C15">
        <v>389</v>
      </c>
      <c r="D15">
        <v>159</v>
      </c>
      <c r="E15">
        <v>120</v>
      </c>
      <c r="F15">
        <v>428</v>
      </c>
      <c r="G15">
        <v>127</v>
      </c>
    </row>
    <row r="16" spans="1:7" x14ac:dyDescent="0.35">
      <c r="A16" t="s">
        <v>12</v>
      </c>
      <c r="B16" t="s">
        <v>35</v>
      </c>
      <c r="C16">
        <v>168</v>
      </c>
      <c r="D16">
        <v>85</v>
      </c>
      <c r="E16">
        <v>113</v>
      </c>
      <c r="F16">
        <v>140</v>
      </c>
      <c r="G16">
        <v>142</v>
      </c>
    </row>
    <row r="17" spans="1:7" x14ac:dyDescent="0.35">
      <c r="A17" t="s">
        <v>17</v>
      </c>
      <c r="B17" t="s">
        <v>35</v>
      </c>
      <c r="C17">
        <v>164</v>
      </c>
      <c r="D17">
        <v>51</v>
      </c>
      <c r="E17">
        <v>54</v>
      </c>
      <c r="F17">
        <v>161</v>
      </c>
      <c r="G17">
        <v>150</v>
      </c>
    </row>
    <row r="18" spans="1:7" x14ac:dyDescent="0.35">
      <c r="A18" t="s">
        <v>24</v>
      </c>
      <c r="B18" t="s">
        <v>11</v>
      </c>
      <c r="C18">
        <v>351</v>
      </c>
      <c r="D18">
        <v>79</v>
      </c>
      <c r="E18">
        <v>141</v>
      </c>
      <c r="F18">
        <v>289</v>
      </c>
      <c r="G18">
        <v>92</v>
      </c>
    </row>
    <row r="19" spans="1:7" x14ac:dyDescent="0.35">
      <c r="A19" t="s">
        <v>46</v>
      </c>
      <c r="B19" t="s">
        <v>11</v>
      </c>
      <c r="C19">
        <v>352</v>
      </c>
      <c r="D19">
        <v>109</v>
      </c>
      <c r="E19">
        <v>205</v>
      </c>
      <c r="F19">
        <v>256</v>
      </c>
      <c r="G19">
        <v>51</v>
      </c>
    </row>
    <row r="20" spans="1:7" x14ac:dyDescent="0.35">
      <c r="A20" t="s">
        <v>55</v>
      </c>
      <c r="B20" t="s">
        <v>11</v>
      </c>
      <c r="C20">
        <v>211</v>
      </c>
      <c r="D20">
        <v>114</v>
      </c>
      <c r="E20">
        <v>186</v>
      </c>
      <c r="F20">
        <v>139</v>
      </c>
      <c r="G20">
        <v>147</v>
      </c>
    </row>
    <row r="21" spans="1:7" x14ac:dyDescent="0.35">
      <c r="A21" t="s">
        <v>22</v>
      </c>
      <c r="B21" t="s">
        <v>11</v>
      </c>
      <c r="C21">
        <v>160</v>
      </c>
      <c r="D21">
        <v>98</v>
      </c>
      <c r="E21">
        <v>88</v>
      </c>
      <c r="F21">
        <v>170</v>
      </c>
      <c r="G21">
        <v>69</v>
      </c>
    </row>
    <row r="22" spans="1:7" x14ac:dyDescent="0.35">
      <c r="A22" t="s">
        <v>32</v>
      </c>
      <c r="B22" t="s">
        <v>11</v>
      </c>
      <c r="C22">
        <v>95</v>
      </c>
      <c r="D22">
        <v>80</v>
      </c>
      <c r="E22">
        <v>124</v>
      </c>
      <c r="F22">
        <v>51</v>
      </c>
      <c r="G22">
        <v>86</v>
      </c>
    </row>
    <row r="23" spans="1:7" x14ac:dyDescent="0.35">
      <c r="A23" t="s">
        <v>43</v>
      </c>
      <c r="B23" t="s">
        <v>11</v>
      </c>
      <c r="C23">
        <v>280</v>
      </c>
      <c r="D23">
        <v>199</v>
      </c>
      <c r="E23">
        <v>204</v>
      </c>
      <c r="F23">
        <v>275</v>
      </c>
      <c r="G23">
        <v>115</v>
      </c>
    </row>
    <row r="24" spans="1:7" x14ac:dyDescent="0.35">
      <c r="A24" t="s">
        <v>12</v>
      </c>
      <c r="B24" t="s">
        <v>11</v>
      </c>
      <c r="C24">
        <v>344</v>
      </c>
      <c r="D24">
        <v>136</v>
      </c>
      <c r="E24">
        <v>119</v>
      </c>
      <c r="F24">
        <v>361</v>
      </c>
      <c r="G24">
        <v>135</v>
      </c>
    </row>
    <row r="25" spans="1:7" x14ac:dyDescent="0.35">
      <c r="A25" t="s">
        <v>17</v>
      </c>
      <c r="B25" t="s">
        <v>11</v>
      </c>
      <c r="C25">
        <v>399</v>
      </c>
      <c r="D25">
        <v>51</v>
      </c>
      <c r="E25">
        <v>181</v>
      </c>
      <c r="F25">
        <v>269</v>
      </c>
      <c r="G25">
        <v>104</v>
      </c>
    </row>
    <row r="26" spans="1:7" x14ac:dyDescent="0.35">
      <c r="A26" t="s">
        <v>24</v>
      </c>
      <c r="B26" t="s">
        <v>20</v>
      </c>
      <c r="C26">
        <v>236</v>
      </c>
      <c r="D26">
        <v>195</v>
      </c>
      <c r="E26">
        <v>129</v>
      </c>
      <c r="F26">
        <v>302</v>
      </c>
      <c r="G26">
        <v>146</v>
      </c>
    </row>
    <row r="27" spans="1:7" x14ac:dyDescent="0.35">
      <c r="A27" t="s">
        <v>46</v>
      </c>
      <c r="B27" t="s">
        <v>20</v>
      </c>
      <c r="C27">
        <v>97</v>
      </c>
      <c r="D27">
        <v>100</v>
      </c>
      <c r="E27">
        <v>212</v>
      </c>
      <c r="F27">
        <v>0</v>
      </c>
      <c r="G27">
        <v>146</v>
      </c>
    </row>
    <row r="28" spans="1:7" x14ac:dyDescent="0.35">
      <c r="A28" t="s">
        <v>55</v>
      </c>
      <c r="B28" t="s">
        <v>20</v>
      </c>
      <c r="C28">
        <v>80</v>
      </c>
      <c r="D28">
        <v>161</v>
      </c>
      <c r="E28">
        <v>23</v>
      </c>
      <c r="F28">
        <v>218</v>
      </c>
      <c r="G28">
        <v>131</v>
      </c>
    </row>
    <row r="29" spans="1:7" x14ac:dyDescent="0.35">
      <c r="A29" t="s">
        <v>22</v>
      </c>
      <c r="B29" t="s">
        <v>20</v>
      </c>
      <c r="C29">
        <v>362</v>
      </c>
      <c r="D29">
        <v>200</v>
      </c>
      <c r="E29">
        <v>78</v>
      </c>
      <c r="F29">
        <v>484</v>
      </c>
      <c r="G29">
        <v>81</v>
      </c>
    </row>
    <row r="30" spans="1:7" x14ac:dyDescent="0.35">
      <c r="A30" t="s">
        <v>32</v>
      </c>
      <c r="B30" t="s">
        <v>20</v>
      </c>
      <c r="C30">
        <v>240</v>
      </c>
      <c r="D30">
        <v>57</v>
      </c>
      <c r="E30">
        <v>125</v>
      </c>
      <c r="F30">
        <v>172</v>
      </c>
      <c r="G30">
        <v>104</v>
      </c>
    </row>
    <row r="31" spans="1:7" x14ac:dyDescent="0.35">
      <c r="A31" t="s">
        <v>43</v>
      </c>
      <c r="B31" t="s">
        <v>20</v>
      </c>
      <c r="C31">
        <v>307</v>
      </c>
      <c r="D31">
        <v>99</v>
      </c>
      <c r="E31">
        <v>81</v>
      </c>
      <c r="F31">
        <v>325</v>
      </c>
      <c r="G31">
        <v>129</v>
      </c>
    </row>
    <row r="32" spans="1:7" x14ac:dyDescent="0.35">
      <c r="A32" t="s">
        <v>12</v>
      </c>
      <c r="B32" t="s">
        <v>20</v>
      </c>
      <c r="C32">
        <v>369</v>
      </c>
      <c r="D32">
        <v>116</v>
      </c>
      <c r="E32">
        <v>133</v>
      </c>
      <c r="F32">
        <v>352</v>
      </c>
      <c r="G32">
        <v>137</v>
      </c>
    </row>
    <row r="33" spans="1:7" x14ac:dyDescent="0.35">
      <c r="A33" t="s">
        <v>17</v>
      </c>
      <c r="B33" t="s">
        <v>20</v>
      </c>
      <c r="C33">
        <v>135</v>
      </c>
      <c r="D33">
        <v>142</v>
      </c>
      <c r="E33">
        <v>32</v>
      </c>
      <c r="F33">
        <v>245</v>
      </c>
      <c r="G33">
        <v>105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50C2-1F45-43A5-AC68-A7544F66A8EF}">
  <sheetPr codeName="Sheet7"/>
  <dimension ref="A1:I301"/>
  <sheetViews>
    <sheetView tabSelected="1" topLeftCell="C1" workbookViewId="0">
      <selection activeCell="L15" sqref="L15"/>
    </sheetView>
  </sheetViews>
  <sheetFormatPr defaultRowHeight="14.5" x14ac:dyDescent="0.35"/>
  <cols>
    <col min="1" max="1" width="13.54296875" bestFit="1" customWidth="1"/>
    <col min="2" max="2" width="15.81640625" bestFit="1" customWidth="1"/>
    <col min="3" max="3" width="17.453125" bestFit="1" customWidth="1"/>
    <col min="4" max="4" width="12.7265625" bestFit="1" customWidth="1"/>
    <col min="5" max="5" width="9.7265625" bestFit="1" customWidth="1"/>
    <col min="6" max="6" width="10.453125" bestFit="1" customWidth="1"/>
    <col min="7" max="7" width="16.54296875" bestFit="1" customWidth="1"/>
    <col min="8" max="8" width="11.36328125" bestFit="1" customWidth="1"/>
    <col min="9" max="9" width="17.54296875" bestFit="1" customWidth="1"/>
  </cols>
  <sheetData>
    <row r="1" spans="1:9" x14ac:dyDescent="0.35">
      <c r="A1" t="s">
        <v>1033</v>
      </c>
      <c r="B1" t="s">
        <v>1034</v>
      </c>
      <c r="C1" t="s">
        <v>1035</v>
      </c>
      <c r="D1" t="s">
        <v>3</v>
      </c>
      <c r="E1" t="s">
        <v>4</v>
      </c>
      <c r="F1" t="s">
        <v>5</v>
      </c>
      <c r="G1" t="s">
        <v>1036</v>
      </c>
      <c r="H1" t="s">
        <v>1349</v>
      </c>
      <c r="I1" t="s">
        <v>1350</v>
      </c>
    </row>
    <row r="2" spans="1:9" x14ac:dyDescent="0.35">
      <c r="A2" t="s">
        <v>1037</v>
      </c>
      <c r="B2" s="2">
        <v>46130</v>
      </c>
      <c r="C2" t="s">
        <v>1038</v>
      </c>
      <c r="D2" t="s">
        <v>20</v>
      </c>
      <c r="E2" t="s">
        <v>32</v>
      </c>
      <c r="F2">
        <v>41</v>
      </c>
      <c r="G2">
        <v>20500</v>
      </c>
      <c r="H2">
        <v>500</v>
      </c>
      <c r="I2" s="2">
        <v>46113</v>
      </c>
    </row>
    <row r="3" spans="1:9" x14ac:dyDescent="0.35">
      <c r="A3" t="s">
        <v>1039</v>
      </c>
      <c r="B3" s="2">
        <v>46166</v>
      </c>
      <c r="C3" t="s">
        <v>1038</v>
      </c>
      <c r="D3" t="s">
        <v>16</v>
      </c>
      <c r="E3" t="s">
        <v>46</v>
      </c>
      <c r="F3">
        <v>126</v>
      </c>
      <c r="G3">
        <v>1512000</v>
      </c>
      <c r="H3">
        <v>12000</v>
      </c>
      <c r="I3" s="2">
        <v>46143</v>
      </c>
    </row>
    <row r="4" spans="1:9" x14ac:dyDescent="0.35">
      <c r="A4" t="s">
        <v>1040</v>
      </c>
      <c r="B4" s="2">
        <v>46189</v>
      </c>
      <c r="C4" t="s">
        <v>1041</v>
      </c>
      <c r="D4" t="s">
        <v>35</v>
      </c>
      <c r="E4" t="s">
        <v>22</v>
      </c>
      <c r="F4">
        <v>246</v>
      </c>
      <c r="G4">
        <v>221400</v>
      </c>
      <c r="H4">
        <v>900</v>
      </c>
      <c r="I4" s="2">
        <v>46174</v>
      </c>
    </row>
    <row r="5" spans="1:9" x14ac:dyDescent="0.35">
      <c r="A5" t="s">
        <v>1042</v>
      </c>
      <c r="B5" s="2">
        <v>46155</v>
      </c>
      <c r="C5" t="s">
        <v>1043</v>
      </c>
      <c r="D5" t="s">
        <v>35</v>
      </c>
      <c r="E5" t="s">
        <v>55</v>
      </c>
      <c r="F5">
        <v>235</v>
      </c>
      <c r="G5">
        <v>2115000</v>
      </c>
      <c r="H5">
        <v>9000</v>
      </c>
      <c r="I5" s="2">
        <v>46143</v>
      </c>
    </row>
    <row r="6" spans="1:9" x14ac:dyDescent="0.35">
      <c r="A6" t="s">
        <v>1044</v>
      </c>
      <c r="B6" s="2">
        <v>46151</v>
      </c>
      <c r="C6" t="s">
        <v>1045</v>
      </c>
      <c r="D6" t="s">
        <v>16</v>
      </c>
      <c r="E6" t="s">
        <v>55</v>
      </c>
      <c r="F6">
        <v>88</v>
      </c>
      <c r="G6">
        <v>792000</v>
      </c>
      <c r="H6">
        <v>9000</v>
      </c>
      <c r="I6" s="2">
        <v>46143</v>
      </c>
    </row>
    <row r="7" spans="1:9" x14ac:dyDescent="0.35">
      <c r="A7" t="s">
        <v>1046</v>
      </c>
      <c r="B7" s="2">
        <v>46173</v>
      </c>
      <c r="C7" t="s">
        <v>1043</v>
      </c>
      <c r="D7" t="s">
        <v>16</v>
      </c>
      <c r="E7" t="s">
        <v>46</v>
      </c>
      <c r="F7">
        <v>103</v>
      </c>
      <c r="G7">
        <v>1236000</v>
      </c>
      <c r="H7">
        <v>12000</v>
      </c>
      <c r="I7" s="2">
        <v>46143</v>
      </c>
    </row>
    <row r="8" spans="1:9" x14ac:dyDescent="0.35">
      <c r="A8" t="s">
        <v>1047</v>
      </c>
      <c r="B8" s="2">
        <v>46154</v>
      </c>
      <c r="C8" t="s">
        <v>1045</v>
      </c>
      <c r="D8" t="s">
        <v>16</v>
      </c>
      <c r="E8" t="s">
        <v>32</v>
      </c>
      <c r="F8">
        <v>122</v>
      </c>
      <c r="G8">
        <v>61000</v>
      </c>
      <c r="H8">
        <v>500</v>
      </c>
      <c r="I8" s="2">
        <v>46143</v>
      </c>
    </row>
    <row r="9" spans="1:9" x14ac:dyDescent="0.35">
      <c r="A9" t="s">
        <v>1048</v>
      </c>
      <c r="B9" s="2">
        <v>46193</v>
      </c>
      <c r="C9" t="s">
        <v>1038</v>
      </c>
      <c r="D9" t="s">
        <v>35</v>
      </c>
      <c r="E9" t="s">
        <v>43</v>
      </c>
      <c r="F9">
        <v>58</v>
      </c>
      <c r="G9">
        <v>145000</v>
      </c>
      <c r="H9">
        <v>2500</v>
      </c>
      <c r="I9" s="2">
        <v>46174</v>
      </c>
    </row>
    <row r="10" spans="1:9" x14ac:dyDescent="0.35">
      <c r="A10" t="s">
        <v>1049</v>
      </c>
      <c r="B10" s="2">
        <v>46191</v>
      </c>
      <c r="C10" t="s">
        <v>1043</v>
      </c>
      <c r="D10" t="s">
        <v>35</v>
      </c>
      <c r="E10" t="s">
        <v>46</v>
      </c>
      <c r="F10">
        <v>32</v>
      </c>
      <c r="G10">
        <v>384000</v>
      </c>
      <c r="H10">
        <v>12000</v>
      </c>
      <c r="I10" s="2">
        <v>46174</v>
      </c>
    </row>
    <row r="11" spans="1:9" x14ac:dyDescent="0.35">
      <c r="A11" t="s">
        <v>1050</v>
      </c>
      <c r="B11" s="2">
        <v>46130</v>
      </c>
      <c r="C11" t="s">
        <v>1038</v>
      </c>
      <c r="D11" t="s">
        <v>20</v>
      </c>
      <c r="E11" t="s">
        <v>43</v>
      </c>
      <c r="F11">
        <v>200</v>
      </c>
      <c r="G11">
        <v>500000</v>
      </c>
      <c r="H11">
        <v>2500</v>
      </c>
      <c r="I11" s="2">
        <v>46113</v>
      </c>
    </row>
    <row r="12" spans="1:9" x14ac:dyDescent="0.35">
      <c r="A12" t="s">
        <v>1051</v>
      </c>
      <c r="B12" s="2">
        <v>46135</v>
      </c>
      <c r="C12" t="s">
        <v>1052</v>
      </c>
      <c r="D12" t="s">
        <v>20</v>
      </c>
      <c r="E12" t="s">
        <v>43</v>
      </c>
      <c r="F12">
        <v>287</v>
      </c>
      <c r="G12">
        <v>717500</v>
      </c>
      <c r="H12">
        <v>2500</v>
      </c>
      <c r="I12" s="2">
        <v>46113</v>
      </c>
    </row>
    <row r="13" spans="1:9" x14ac:dyDescent="0.35">
      <c r="A13" t="s">
        <v>1053</v>
      </c>
      <c r="B13" s="2">
        <v>46166</v>
      </c>
      <c r="C13" t="s">
        <v>1038</v>
      </c>
      <c r="D13" t="s">
        <v>35</v>
      </c>
      <c r="E13" t="s">
        <v>17</v>
      </c>
      <c r="F13">
        <v>32</v>
      </c>
      <c r="G13">
        <v>57600</v>
      </c>
      <c r="H13">
        <v>1800</v>
      </c>
      <c r="I13" s="2">
        <v>46143</v>
      </c>
    </row>
    <row r="14" spans="1:9" x14ac:dyDescent="0.35">
      <c r="A14" t="s">
        <v>1054</v>
      </c>
      <c r="B14" s="2">
        <v>46142</v>
      </c>
      <c r="C14" t="s">
        <v>1038</v>
      </c>
      <c r="D14" t="s">
        <v>20</v>
      </c>
      <c r="E14" t="s">
        <v>17</v>
      </c>
      <c r="F14">
        <v>139</v>
      </c>
      <c r="G14">
        <v>250200</v>
      </c>
      <c r="H14">
        <v>1800</v>
      </c>
      <c r="I14" s="2">
        <v>46113</v>
      </c>
    </row>
    <row r="15" spans="1:9" x14ac:dyDescent="0.35">
      <c r="A15" t="s">
        <v>1055</v>
      </c>
      <c r="B15" s="2">
        <v>46170</v>
      </c>
      <c r="C15" t="s">
        <v>1045</v>
      </c>
      <c r="D15" t="s">
        <v>16</v>
      </c>
      <c r="E15" t="s">
        <v>32</v>
      </c>
      <c r="F15">
        <v>76</v>
      </c>
      <c r="G15">
        <v>38000</v>
      </c>
      <c r="H15">
        <v>500</v>
      </c>
      <c r="I15" s="2">
        <v>46143</v>
      </c>
    </row>
    <row r="16" spans="1:9" x14ac:dyDescent="0.35">
      <c r="A16" t="s">
        <v>1056</v>
      </c>
      <c r="B16" s="2">
        <v>46180</v>
      </c>
      <c r="C16" t="s">
        <v>1052</v>
      </c>
      <c r="D16" t="s">
        <v>11</v>
      </c>
      <c r="E16" t="s">
        <v>43</v>
      </c>
      <c r="F16">
        <v>59</v>
      </c>
      <c r="G16">
        <v>147500</v>
      </c>
      <c r="H16">
        <v>2500</v>
      </c>
      <c r="I16" s="2">
        <v>46174</v>
      </c>
    </row>
    <row r="17" spans="1:9" x14ac:dyDescent="0.35">
      <c r="A17" t="s">
        <v>1057</v>
      </c>
      <c r="B17" s="2">
        <v>46179</v>
      </c>
      <c r="C17" t="s">
        <v>1038</v>
      </c>
      <c r="D17" t="s">
        <v>20</v>
      </c>
      <c r="E17" t="s">
        <v>22</v>
      </c>
      <c r="F17">
        <v>147</v>
      </c>
      <c r="G17">
        <v>132300</v>
      </c>
      <c r="H17">
        <v>900</v>
      </c>
      <c r="I17" s="2">
        <v>46174</v>
      </c>
    </row>
    <row r="18" spans="1:9" x14ac:dyDescent="0.35">
      <c r="A18" t="s">
        <v>1058</v>
      </c>
      <c r="B18" s="2">
        <v>46183</v>
      </c>
      <c r="C18" t="s">
        <v>1038</v>
      </c>
      <c r="D18" t="s">
        <v>35</v>
      </c>
      <c r="E18" t="s">
        <v>32</v>
      </c>
      <c r="F18">
        <v>192</v>
      </c>
      <c r="G18">
        <v>96000</v>
      </c>
      <c r="H18">
        <v>500</v>
      </c>
      <c r="I18" s="2">
        <v>46174</v>
      </c>
    </row>
    <row r="19" spans="1:9" x14ac:dyDescent="0.35">
      <c r="A19" t="s">
        <v>1059</v>
      </c>
      <c r="B19" s="2">
        <v>46130</v>
      </c>
      <c r="C19" t="s">
        <v>1052</v>
      </c>
      <c r="D19" t="s">
        <v>20</v>
      </c>
      <c r="E19" t="s">
        <v>46</v>
      </c>
      <c r="F19">
        <v>54</v>
      </c>
      <c r="G19">
        <v>648000</v>
      </c>
      <c r="H19">
        <v>12000</v>
      </c>
      <c r="I19" s="2">
        <v>46113</v>
      </c>
    </row>
    <row r="20" spans="1:9" x14ac:dyDescent="0.35">
      <c r="A20" t="s">
        <v>1060</v>
      </c>
      <c r="B20" s="2">
        <v>46119</v>
      </c>
      <c r="C20" t="s">
        <v>1052</v>
      </c>
      <c r="D20" t="s">
        <v>20</v>
      </c>
      <c r="E20" t="s">
        <v>12</v>
      </c>
      <c r="F20">
        <v>278</v>
      </c>
      <c r="G20">
        <v>1946000</v>
      </c>
      <c r="H20">
        <v>7000</v>
      </c>
      <c r="I20" s="2">
        <v>46113</v>
      </c>
    </row>
    <row r="21" spans="1:9" x14ac:dyDescent="0.35">
      <c r="A21" t="s">
        <v>1061</v>
      </c>
      <c r="B21" s="2">
        <v>46152</v>
      </c>
      <c r="C21" t="s">
        <v>1043</v>
      </c>
      <c r="D21" t="s">
        <v>20</v>
      </c>
      <c r="E21" t="s">
        <v>22</v>
      </c>
      <c r="F21">
        <v>24</v>
      </c>
      <c r="G21">
        <v>21600</v>
      </c>
      <c r="H21">
        <v>900</v>
      </c>
      <c r="I21" s="2">
        <v>46143</v>
      </c>
    </row>
    <row r="22" spans="1:9" x14ac:dyDescent="0.35">
      <c r="A22" t="s">
        <v>1062</v>
      </c>
      <c r="B22" s="2">
        <v>46182</v>
      </c>
      <c r="C22" t="s">
        <v>1045</v>
      </c>
      <c r="D22" t="s">
        <v>11</v>
      </c>
      <c r="E22" t="s">
        <v>24</v>
      </c>
      <c r="F22">
        <v>237</v>
      </c>
      <c r="G22">
        <v>10665000</v>
      </c>
      <c r="H22">
        <v>45000</v>
      </c>
      <c r="I22" s="2">
        <v>46174</v>
      </c>
    </row>
    <row r="23" spans="1:9" x14ac:dyDescent="0.35">
      <c r="A23" t="s">
        <v>1063</v>
      </c>
      <c r="B23" s="2">
        <v>46198</v>
      </c>
      <c r="C23" t="s">
        <v>1052</v>
      </c>
      <c r="D23" t="s">
        <v>16</v>
      </c>
      <c r="E23" t="s">
        <v>55</v>
      </c>
      <c r="F23">
        <v>30</v>
      </c>
      <c r="G23">
        <v>270000</v>
      </c>
      <c r="H23">
        <v>9000</v>
      </c>
      <c r="I23" s="2">
        <v>46174</v>
      </c>
    </row>
    <row r="24" spans="1:9" x14ac:dyDescent="0.35">
      <c r="A24" t="s">
        <v>1064</v>
      </c>
      <c r="B24" s="2">
        <v>46177</v>
      </c>
      <c r="C24" t="s">
        <v>1052</v>
      </c>
      <c r="D24" t="s">
        <v>35</v>
      </c>
      <c r="E24" t="s">
        <v>46</v>
      </c>
      <c r="F24">
        <v>136</v>
      </c>
      <c r="G24">
        <v>1632000</v>
      </c>
      <c r="H24">
        <v>12000</v>
      </c>
      <c r="I24" s="2">
        <v>46174</v>
      </c>
    </row>
    <row r="25" spans="1:9" x14ac:dyDescent="0.35">
      <c r="A25" t="s">
        <v>1065</v>
      </c>
      <c r="B25" s="2">
        <v>46180</v>
      </c>
      <c r="C25" t="s">
        <v>1041</v>
      </c>
      <c r="D25" t="s">
        <v>11</v>
      </c>
      <c r="E25" t="s">
        <v>46</v>
      </c>
      <c r="F25">
        <v>203</v>
      </c>
      <c r="G25">
        <v>2436000</v>
      </c>
      <c r="H25">
        <v>12000</v>
      </c>
      <c r="I25" s="2">
        <v>46174</v>
      </c>
    </row>
    <row r="26" spans="1:9" x14ac:dyDescent="0.35">
      <c r="A26" t="s">
        <v>1066</v>
      </c>
      <c r="B26" s="2">
        <v>46161</v>
      </c>
      <c r="C26" t="s">
        <v>1052</v>
      </c>
      <c r="D26" t="s">
        <v>35</v>
      </c>
      <c r="E26" t="s">
        <v>46</v>
      </c>
      <c r="F26">
        <v>135</v>
      </c>
      <c r="G26">
        <v>1620000</v>
      </c>
      <c r="H26">
        <v>12000</v>
      </c>
      <c r="I26" s="2">
        <v>46143</v>
      </c>
    </row>
    <row r="27" spans="1:9" x14ac:dyDescent="0.35">
      <c r="A27" t="s">
        <v>1067</v>
      </c>
      <c r="B27" s="2">
        <v>46164</v>
      </c>
      <c r="C27" t="s">
        <v>1045</v>
      </c>
      <c r="D27" t="s">
        <v>35</v>
      </c>
      <c r="E27" t="s">
        <v>22</v>
      </c>
      <c r="F27">
        <v>181</v>
      </c>
      <c r="G27">
        <v>162900</v>
      </c>
      <c r="H27">
        <v>900</v>
      </c>
      <c r="I27" s="2">
        <v>46143</v>
      </c>
    </row>
    <row r="28" spans="1:9" x14ac:dyDescent="0.35">
      <c r="A28" t="s">
        <v>1068</v>
      </c>
      <c r="B28" s="2">
        <v>46141</v>
      </c>
      <c r="C28" t="s">
        <v>1038</v>
      </c>
      <c r="D28" t="s">
        <v>35</v>
      </c>
      <c r="E28" t="s">
        <v>24</v>
      </c>
      <c r="F28">
        <v>86</v>
      </c>
      <c r="G28">
        <v>3870000</v>
      </c>
      <c r="H28">
        <v>45000</v>
      </c>
      <c r="I28" s="2">
        <v>46113</v>
      </c>
    </row>
    <row r="29" spans="1:9" x14ac:dyDescent="0.35">
      <c r="A29" t="s">
        <v>1069</v>
      </c>
      <c r="B29" s="2">
        <v>46133</v>
      </c>
      <c r="C29" t="s">
        <v>1038</v>
      </c>
      <c r="D29" t="s">
        <v>11</v>
      </c>
      <c r="E29" t="s">
        <v>12</v>
      </c>
      <c r="F29">
        <v>219</v>
      </c>
      <c r="G29">
        <v>1533000</v>
      </c>
      <c r="H29">
        <v>7000</v>
      </c>
      <c r="I29" s="2">
        <v>46113</v>
      </c>
    </row>
    <row r="30" spans="1:9" x14ac:dyDescent="0.35">
      <c r="A30" t="s">
        <v>1070</v>
      </c>
      <c r="B30" s="2">
        <v>46202</v>
      </c>
      <c r="C30" t="s">
        <v>1038</v>
      </c>
      <c r="D30" t="s">
        <v>16</v>
      </c>
      <c r="E30" t="s">
        <v>32</v>
      </c>
      <c r="F30">
        <v>50</v>
      </c>
      <c r="G30">
        <v>25000</v>
      </c>
      <c r="H30">
        <v>500</v>
      </c>
      <c r="I30" s="2">
        <v>46174</v>
      </c>
    </row>
    <row r="31" spans="1:9" x14ac:dyDescent="0.35">
      <c r="A31" t="s">
        <v>1071</v>
      </c>
      <c r="B31" s="2">
        <v>46190</v>
      </c>
      <c r="C31" t="s">
        <v>1038</v>
      </c>
      <c r="D31" t="s">
        <v>35</v>
      </c>
      <c r="E31" t="s">
        <v>17</v>
      </c>
      <c r="F31">
        <v>94</v>
      </c>
      <c r="G31">
        <v>169200</v>
      </c>
      <c r="H31">
        <v>1800</v>
      </c>
      <c r="I31" s="2">
        <v>46174</v>
      </c>
    </row>
    <row r="32" spans="1:9" x14ac:dyDescent="0.35">
      <c r="A32" t="s">
        <v>1072</v>
      </c>
      <c r="B32" s="2">
        <v>46121</v>
      </c>
      <c r="C32" t="s">
        <v>1041</v>
      </c>
      <c r="D32" t="s">
        <v>16</v>
      </c>
      <c r="E32" t="s">
        <v>24</v>
      </c>
      <c r="F32">
        <v>256</v>
      </c>
      <c r="G32">
        <v>11520000</v>
      </c>
      <c r="H32">
        <v>45000</v>
      </c>
      <c r="I32" s="2">
        <v>46113</v>
      </c>
    </row>
    <row r="33" spans="1:9" x14ac:dyDescent="0.35">
      <c r="A33" t="s">
        <v>1073</v>
      </c>
      <c r="B33" s="2">
        <v>46159</v>
      </c>
      <c r="C33" t="s">
        <v>1052</v>
      </c>
      <c r="D33" t="s">
        <v>16</v>
      </c>
      <c r="E33" t="s">
        <v>22</v>
      </c>
      <c r="F33">
        <v>85</v>
      </c>
      <c r="G33">
        <v>76500</v>
      </c>
      <c r="H33">
        <v>900</v>
      </c>
      <c r="I33" s="2">
        <v>46143</v>
      </c>
    </row>
    <row r="34" spans="1:9" x14ac:dyDescent="0.35">
      <c r="A34" t="s">
        <v>1074</v>
      </c>
      <c r="B34" s="2">
        <v>46188</v>
      </c>
      <c r="C34" t="s">
        <v>1038</v>
      </c>
      <c r="D34" t="s">
        <v>20</v>
      </c>
      <c r="E34" t="s">
        <v>46</v>
      </c>
      <c r="F34">
        <v>89</v>
      </c>
      <c r="G34">
        <v>1068000</v>
      </c>
      <c r="H34">
        <v>12000</v>
      </c>
      <c r="I34" s="2">
        <v>46174</v>
      </c>
    </row>
    <row r="35" spans="1:9" x14ac:dyDescent="0.35">
      <c r="A35" t="s">
        <v>1075</v>
      </c>
      <c r="B35" s="2">
        <v>46154</v>
      </c>
      <c r="C35" t="s">
        <v>1043</v>
      </c>
      <c r="D35" t="s">
        <v>11</v>
      </c>
      <c r="E35" t="s">
        <v>55</v>
      </c>
      <c r="F35">
        <v>39</v>
      </c>
      <c r="G35">
        <v>351000</v>
      </c>
      <c r="H35">
        <v>9000</v>
      </c>
      <c r="I35" s="2">
        <v>46143</v>
      </c>
    </row>
    <row r="36" spans="1:9" x14ac:dyDescent="0.35">
      <c r="A36" t="s">
        <v>1076</v>
      </c>
      <c r="B36" s="2">
        <v>46163</v>
      </c>
      <c r="C36" t="s">
        <v>1038</v>
      </c>
      <c r="D36" t="s">
        <v>11</v>
      </c>
      <c r="E36" t="s">
        <v>46</v>
      </c>
      <c r="F36">
        <v>245</v>
      </c>
      <c r="G36">
        <v>2940000</v>
      </c>
      <c r="H36">
        <v>12000</v>
      </c>
      <c r="I36" s="2">
        <v>46143</v>
      </c>
    </row>
    <row r="37" spans="1:9" x14ac:dyDescent="0.35">
      <c r="A37" t="s">
        <v>1077</v>
      </c>
      <c r="B37" s="2">
        <v>46168</v>
      </c>
      <c r="C37" t="s">
        <v>1052</v>
      </c>
      <c r="D37" t="s">
        <v>20</v>
      </c>
      <c r="E37" t="s">
        <v>32</v>
      </c>
      <c r="F37">
        <v>218</v>
      </c>
      <c r="G37">
        <v>109000</v>
      </c>
      <c r="H37">
        <v>500</v>
      </c>
      <c r="I37" s="2">
        <v>46143</v>
      </c>
    </row>
    <row r="38" spans="1:9" x14ac:dyDescent="0.35">
      <c r="A38" t="s">
        <v>1078</v>
      </c>
      <c r="B38" s="2">
        <v>46163</v>
      </c>
      <c r="C38" t="s">
        <v>1038</v>
      </c>
      <c r="D38" t="s">
        <v>20</v>
      </c>
      <c r="E38" t="s">
        <v>43</v>
      </c>
      <c r="F38">
        <v>58</v>
      </c>
      <c r="G38">
        <v>145000</v>
      </c>
      <c r="H38">
        <v>2500</v>
      </c>
      <c r="I38" s="2">
        <v>46143</v>
      </c>
    </row>
    <row r="39" spans="1:9" x14ac:dyDescent="0.35">
      <c r="A39" t="s">
        <v>1079</v>
      </c>
      <c r="B39" s="2">
        <v>46182</v>
      </c>
      <c r="C39" t="s">
        <v>1041</v>
      </c>
      <c r="D39" t="s">
        <v>16</v>
      </c>
      <c r="E39" t="s">
        <v>55</v>
      </c>
      <c r="F39">
        <v>164</v>
      </c>
      <c r="G39">
        <v>1476000</v>
      </c>
      <c r="H39">
        <v>9000</v>
      </c>
      <c r="I39" s="2">
        <v>46174</v>
      </c>
    </row>
    <row r="40" spans="1:9" x14ac:dyDescent="0.35">
      <c r="A40" t="s">
        <v>1080</v>
      </c>
      <c r="B40" s="2">
        <v>46132</v>
      </c>
      <c r="C40" t="s">
        <v>1045</v>
      </c>
      <c r="D40" t="s">
        <v>35</v>
      </c>
      <c r="E40" t="s">
        <v>46</v>
      </c>
      <c r="F40">
        <v>64</v>
      </c>
      <c r="G40">
        <v>768000</v>
      </c>
      <c r="H40">
        <v>12000</v>
      </c>
      <c r="I40" s="2">
        <v>46113</v>
      </c>
    </row>
    <row r="41" spans="1:9" x14ac:dyDescent="0.35">
      <c r="A41" t="s">
        <v>1081</v>
      </c>
      <c r="B41" s="2">
        <v>46200</v>
      </c>
      <c r="C41" t="s">
        <v>1045</v>
      </c>
      <c r="D41" t="s">
        <v>11</v>
      </c>
      <c r="E41" t="s">
        <v>12</v>
      </c>
      <c r="F41">
        <v>110</v>
      </c>
      <c r="G41">
        <v>770000</v>
      </c>
      <c r="H41">
        <v>7000</v>
      </c>
      <c r="I41" s="2">
        <v>46174</v>
      </c>
    </row>
    <row r="42" spans="1:9" x14ac:dyDescent="0.35">
      <c r="A42" t="s">
        <v>1082</v>
      </c>
      <c r="B42" s="2">
        <v>46139</v>
      </c>
      <c r="C42" t="s">
        <v>1052</v>
      </c>
      <c r="D42" t="s">
        <v>35</v>
      </c>
      <c r="E42" t="s">
        <v>55</v>
      </c>
      <c r="F42">
        <v>257</v>
      </c>
      <c r="G42">
        <v>2313000</v>
      </c>
      <c r="H42">
        <v>9000</v>
      </c>
      <c r="I42" s="2">
        <v>46113</v>
      </c>
    </row>
    <row r="43" spans="1:9" x14ac:dyDescent="0.35">
      <c r="A43" t="s">
        <v>1083</v>
      </c>
      <c r="B43" s="2">
        <v>46150</v>
      </c>
      <c r="C43" t="s">
        <v>1045</v>
      </c>
      <c r="D43" t="s">
        <v>35</v>
      </c>
      <c r="E43" t="s">
        <v>43</v>
      </c>
      <c r="F43">
        <v>89</v>
      </c>
      <c r="G43">
        <v>222500</v>
      </c>
      <c r="H43">
        <v>2500</v>
      </c>
      <c r="I43" s="2">
        <v>46143</v>
      </c>
    </row>
    <row r="44" spans="1:9" x14ac:dyDescent="0.35">
      <c r="A44" t="s">
        <v>1084</v>
      </c>
      <c r="B44" s="2">
        <v>46184</v>
      </c>
      <c r="C44" t="s">
        <v>1045</v>
      </c>
      <c r="D44" t="s">
        <v>20</v>
      </c>
      <c r="E44" t="s">
        <v>17</v>
      </c>
      <c r="F44">
        <v>185</v>
      </c>
      <c r="G44">
        <v>333000</v>
      </c>
      <c r="H44">
        <v>1800</v>
      </c>
      <c r="I44" s="2">
        <v>46174</v>
      </c>
    </row>
    <row r="45" spans="1:9" x14ac:dyDescent="0.35">
      <c r="A45" t="s">
        <v>1085</v>
      </c>
      <c r="B45" s="2">
        <v>46177</v>
      </c>
      <c r="C45" t="s">
        <v>1043</v>
      </c>
      <c r="D45" t="s">
        <v>35</v>
      </c>
      <c r="E45" t="s">
        <v>24</v>
      </c>
      <c r="F45">
        <v>149</v>
      </c>
      <c r="G45">
        <v>6705000</v>
      </c>
      <c r="H45">
        <v>45000</v>
      </c>
      <c r="I45" s="2">
        <v>46174</v>
      </c>
    </row>
    <row r="46" spans="1:9" x14ac:dyDescent="0.35">
      <c r="A46" t="s">
        <v>1086</v>
      </c>
      <c r="B46" s="2">
        <v>46166</v>
      </c>
      <c r="C46" t="s">
        <v>1052</v>
      </c>
      <c r="D46" t="s">
        <v>16</v>
      </c>
      <c r="E46" t="s">
        <v>22</v>
      </c>
      <c r="F46">
        <v>233</v>
      </c>
      <c r="G46">
        <v>209700</v>
      </c>
      <c r="H46">
        <v>900</v>
      </c>
      <c r="I46" s="2">
        <v>46143</v>
      </c>
    </row>
    <row r="47" spans="1:9" x14ac:dyDescent="0.35">
      <c r="A47" t="s">
        <v>1087</v>
      </c>
      <c r="B47" s="2">
        <v>46136</v>
      </c>
      <c r="C47" t="s">
        <v>1052</v>
      </c>
      <c r="D47" t="s">
        <v>20</v>
      </c>
      <c r="E47" t="s">
        <v>17</v>
      </c>
      <c r="F47">
        <v>108</v>
      </c>
      <c r="G47">
        <v>194400</v>
      </c>
      <c r="H47">
        <v>1800</v>
      </c>
      <c r="I47" s="2">
        <v>46113</v>
      </c>
    </row>
    <row r="48" spans="1:9" x14ac:dyDescent="0.35">
      <c r="A48" t="s">
        <v>1088</v>
      </c>
      <c r="B48" s="2">
        <v>46159</v>
      </c>
      <c r="C48" t="s">
        <v>1045</v>
      </c>
      <c r="D48" t="s">
        <v>35</v>
      </c>
      <c r="E48" t="s">
        <v>46</v>
      </c>
      <c r="F48">
        <v>271</v>
      </c>
      <c r="G48">
        <v>3252000</v>
      </c>
      <c r="H48">
        <v>12000</v>
      </c>
      <c r="I48" s="2">
        <v>46143</v>
      </c>
    </row>
    <row r="49" spans="1:9" x14ac:dyDescent="0.35">
      <c r="A49" t="s">
        <v>1089</v>
      </c>
      <c r="B49" s="2">
        <v>46183</v>
      </c>
      <c r="C49" t="s">
        <v>1045</v>
      </c>
      <c r="D49" t="s">
        <v>20</v>
      </c>
      <c r="E49" t="s">
        <v>32</v>
      </c>
      <c r="F49">
        <v>91</v>
      </c>
      <c r="G49">
        <v>45500</v>
      </c>
      <c r="H49">
        <v>500</v>
      </c>
      <c r="I49" s="2">
        <v>46174</v>
      </c>
    </row>
    <row r="50" spans="1:9" x14ac:dyDescent="0.35">
      <c r="A50" t="s">
        <v>1090</v>
      </c>
      <c r="B50" s="2">
        <v>46195</v>
      </c>
      <c r="C50" t="s">
        <v>1045</v>
      </c>
      <c r="D50" t="s">
        <v>16</v>
      </c>
      <c r="E50" t="s">
        <v>24</v>
      </c>
      <c r="F50">
        <v>184</v>
      </c>
      <c r="G50">
        <v>8280000</v>
      </c>
      <c r="H50">
        <v>45000</v>
      </c>
      <c r="I50" s="2">
        <v>46174</v>
      </c>
    </row>
    <row r="51" spans="1:9" x14ac:dyDescent="0.35">
      <c r="A51" t="s">
        <v>1091</v>
      </c>
      <c r="B51" s="2">
        <v>46198</v>
      </c>
      <c r="C51" t="s">
        <v>1041</v>
      </c>
      <c r="D51" t="s">
        <v>16</v>
      </c>
      <c r="E51" t="s">
        <v>17</v>
      </c>
      <c r="F51">
        <v>68</v>
      </c>
      <c r="G51">
        <v>122400</v>
      </c>
      <c r="H51">
        <v>1800</v>
      </c>
      <c r="I51" s="2">
        <v>46174</v>
      </c>
    </row>
    <row r="52" spans="1:9" x14ac:dyDescent="0.35">
      <c r="A52" t="s">
        <v>1092</v>
      </c>
      <c r="B52" s="2">
        <v>46175</v>
      </c>
      <c r="C52" t="s">
        <v>1038</v>
      </c>
      <c r="D52" t="s">
        <v>35</v>
      </c>
      <c r="E52" t="s">
        <v>46</v>
      </c>
      <c r="F52">
        <v>71</v>
      </c>
      <c r="G52">
        <v>852000</v>
      </c>
      <c r="H52">
        <v>12000</v>
      </c>
      <c r="I52" s="2">
        <v>46174</v>
      </c>
    </row>
    <row r="53" spans="1:9" x14ac:dyDescent="0.35">
      <c r="A53" t="s">
        <v>1093</v>
      </c>
      <c r="B53" s="2">
        <v>46169</v>
      </c>
      <c r="C53" t="s">
        <v>1041</v>
      </c>
      <c r="D53" t="s">
        <v>20</v>
      </c>
      <c r="E53" t="s">
        <v>24</v>
      </c>
      <c r="F53">
        <v>297</v>
      </c>
      <c r="G53">
        <v>13365000</v>
      </c>
      <c r="H53">
        <v>45000</v>
      </c>
      <c r="I53" s="2">
        <v>46143</v>
      </c>
    </row>
    <row r="54" spans="1:9" x14ac:dyDescent="0.35">
      <c r="A54" t="s">
        <v>1094</v>
      </c>
      <c r="B54" s="2">
        <v>46167</v>
      </c>
      <c r="C54" t="s">
        <v>1052</v>
      </c>
      <c r="D54" t="s">
        <v>35</v>
      </c>
      <c r="E54" t="s">
        <v>17</v>
      </c>
      <c r="F54">
        <v>133</v>
      </c>
      <c r="G54">
        <v>239400</v>
      </c>
      <c r="H54">
        <v>1800</v>
      </c>
      <c r="I54" s="2">
        <v>46143</v>
      </c>
    </row>
    <row r="55" spans="1:9" x14ac:dyDescent="0.35">
      <c r="A55" t="s">
        <v>1095</v>
      </c>
      <c r="B55" s="2">
        <v>46172</v>
      </c>
      <c r="C55" t="s">
        <v>1043</v>
      </c>
      <c r="D55" t="s">
        <v>35</v>
      </c>
      <c r="E55" t="s">
        <v>32</v>
      </c>
      <c r="F55">
        <v>258</v>
      </c>
      <c r="G55">
        <v>129000</v>
      </c>
      <c r="H55">
        <v>500</v>
      </c>
      <c r="I55" s="2">
        <v>46143</v>
      </c>
    </row>
    <row r="56" spans="1:9" x14ac:dyDescent="0.35">
      <c r="A56" t="s">
        <v>1096</v>
      </c>
      <c r="B56" s="2">
        <v>46174</v>
      </c>
      <c r="C56" t="s">
        <v>1038</v>
      </c>
      <c r="D56" t="s">
        <v>20</v>
      </c>
      <c r="E56" t="s">
        <v>46</v>
      </c>
      <c r="F56">
        <v>152</v>
      </c>
      <c r="G56">
        <v>1824000</v>
      </c>
      <c r="H56">
        <v>12000</v>
      </c>
      <c r="I56" s="2">
        <v>46174</v>
      </c>
    </row>
    <row r="57" spans="1:9" x14ac:dyDescent="0.35">
      <c r="A57" t="s">
        <v>1097</v>
      </c>
      <c r="B57" s="2">
        <v>46142</v>
      </c>
      <c r="C57" t="s">
        <v>1043</v>
      </c>
      <c r="D57" t="s">
        <v>35</v>
      </c>
      <c r="E57" t="s">
        <v>43</v>
      </c>
      <c r="F57">
        <v>293</v>
      </c>
      <c r="G57">
        <v>732500</v>
      </c>
      <c r="H57">
        <v>2500</v>
      </c>
      <c r="I57" s="2">
        <v>46113</v>
      </c>
    </row>
    <row r="58" spans="1:9" x14ac:dyDescent="0.35">
      <c r="A58" t="s">
        <v>1098</v>
      </c>
      <c r="B58" s="2">
        <v>46134</v>
      </c>
      <c r="C58" t="s">
        <v>1052</v>
      </c>
      <c r="D58" t="s">
        <v>16</v>
      </c>
      <c r="E58" t="s">
        <v>43</v>
      </c>
      <c r="F58">
        <v>185</v>
      </c>
      <c r="G58">
        <v>462500</v>
      </c>
      <c r="H58">
        <v>2500</v>
      </c>
      <c r="I58" s="2">
        <v>46113</v>
      </c>
    </row>
    <row r="59" spans="1:9" x14ac:dyDescent="0.35">
      <c r="A59" t="s">
        <v>1099</v>
      </c>
      <c r="B59" s="2">
        <v>46187</v>
      </c>
      <c r="C59" t="s">
        <v>1052</v>
      </c>
      <c r="D59" t="s">
        <v>20</v>
      </c>
      <c r="E59" t="s">
        <v>32</v>
      </c>
      <c r="F59">
        <v>262</v>
      </c>
      <c r="G59">
        <v>131000</v>
      </c>
      <c r="H59">
        <v>500</v>
      </c>
      <c r="I59" s="2">
        <v>46174</v>
      </c>
    </row>
    <row r="60" spans="1:9" x14ac:dyDescent="0.35">
      <c r="A60" t="s">
        <v>1100</v>
      </c>
      <c r="B60" s="2">
        <v>46196</v>
      </c>
      <c r="C60" t="s">
        <v>1043</v>
      </c>
      <c r="D60" t="s">
        <v>20</v>
      </c>
      <c r="E60" t="s">
        <v>55</v>
      </c>
      <c r="F60">
        <v>157</v>
      </c>
      <c r="G60">
        <v>1413000</v>
      </c>
      <c r="H60">
        <v>9000</v>
      </c>
      <c r="I60" s="2">
        <v>46174</v>
      </c>
    </row>
    <row r="61" spans="1:9" x14ac:dyDescent="0.35">
      <c r="A61" t="s">
        <v>1101</v>
      </c>
      <c r="B61" s="2">
        <v>46141</v>
      </c>
      <c r="C61" t="s">
        <v>1043</v>
      </c>
      <c r="D61" t="s">
        <v>20</v>
      </c>
      <c r="E61" t="s">
        <v>32</v>
      </c>
      <c r="F61">
        <v>98</v>
      </c>
      <c r="G61">
        <v>49000</v>
      </c>
      <c r="H61">
        <v>500</v>
      </c>
      <c r="I61" s="2">
        <v>46113</v>
      </c>
    </row>
    <row r="62" spans="1:9" x14ac:dyDescent="0.35">
      <c r="A62" t="s">
        <v>1102</v>
      </c>
      <c r="B62" s="2">
        <v>46153</v>
      </c>
      <c r="C62" t="s">
        <v>1043</v>
      </c>
      <c r="D62" t="s">
        <v>20</v>
      </c>
      <c r="E62" t="s">
        <v>55</v>
      </c>
      <c r="F62">
        <v>189</v>
      </c>
      <c r="G62">
        <v>1701000</v>
      </c>
      <c r="H62">
        <v>9000</v>
      </c>
      <c r="I62" s="2">
        <v>46143</v>
      </c>
    </row>
    <row r="63" spans="1:9" x14ac:dyDescent="0.35">
      <c r="A63" t="s">
        <v>1103</v>
      </c>
      <c r="B63" s="2">
        <v>46154</v>
      </c>
      <c r="C63" t="s">
        <v>1052</v>
      </c>
      <c r="D63" t="s">
        <v>35</v>
      </c>
      <c r="E63" t="s">
        <v>46</v>
      </c>
      <c r="F63">
        <v>142</v>
      </c>
      <c r="G63">
        <v>1704000</v>
      </c>
      <c r="H63">
        <v>12000</v>
      </c>
      <c r="I63" s="2">
        <v>46143</v>
      </c>
    </row>
    <row r="64" spans="1:9" x14ac:dyDescent="0.35">
      <c r="A64" t="s">
        <v>1104</v>
      </c>
      <c r="B64" s="2">
        <v>46177</v>
      </c>
      <c r="C64" t="s">
        <v>1045</v>
      </c>
      <c r="D64" t="s">
        <v>35</v>
      </c>
      <c r="E64" t="s">
        <v>17</v>
      </c>
      <c r="F64">
        <v>195</v>
      </c>
      <c r="G64">
        <v>351000</v>
      </c>
      <c r="H64">
        <v>1800</v>
      </c>
      <c r="I64" s="2">
        <v>46174</v>
      </c>
    </row>
    <row r="65" spans="1:9" x14ac:dyDescent="0.35">
      <c r="A65" t="s">
        <v>1105</v>
      </c>
      <c r="B65" s="2">
        <v>46143</v>
      </c>
      <c r="C65" t="s">
        <v>1043</v>
      </c>
      <c r="D65" t="s">
        <v>16</v>
      </c>
      <c r="E65" t="s">
        <v>55</v>
      </c>
      <c r="F65">
        <v>101</v>
      </c>
      <c r="G65">
        <v>909000</v>
      </c>
      <c r="H65">
        <v>9000</v>
      </c>
      <c r="I65" s="2">
        <v>46143</v>
      </c>
    </row>
    <row r="66" spans="1:9" x14ac:dyDescent="0.35">
      <c r="A66" t="s">
        <v>1106</v>
      </c>
      <c r="B66" s="2">
        <v>46142</v>
      </c>
      <c r="C66" t="s">
        <v>1038</v>
      </c>
      <c r="D66" t="s">
        <v>11</v>
      </c>
      <c r="E66" t="s">
        <v>46</v>
      </c>
      <c r="F66">
        <v>106</v>
      </c>
      <c r="G66">
        <v>1272000</v>
      </c>
      <c r="H66">
        <v>12000</v>
      </c>
      <c r="I66" s="2">
        <v>46113</v>
      </c>
    </row>
    <row r="67" spans="1:9" x14ac:dyDescent="0.35">
      <c r="A67" t="s">
        <v>1107</v>
      </c>
      <c r="B67" s="2">
        <v>46130</v>
      </c>
      <c r="C67" t="s">
        <v>1052</v>
      </c>
      <c r="D67" t="s">
        <v>11</v>
      </c>
      <c r="E67" t="s">
        <v>46</v>
      </c>
      <c r="F67">
        <v>244</v>
      </c>
      <c r="G67">
        <v>2928000</v>
      </c>
      <c r="H67">
        <v>12000</v>
      </c>
      <c r="I67" s="2">
        <v>46113</v>
      </c>
    </row>
    <row r="68" spans="1:9" x14ac:dyDescent="0.35">
      <c r="A68" t="s">
        <v>1108</v>
      </c>
      <c r="B68" s="2">
        <v>46129</v>
      </c>
      <c r="C68" t="s">
        <v>1041</v>
      </c>
      <c r="D68" t="s">
        <v>16</v>
      </c>
      <c r="E68" t="s">
        <v>12</v>
      </c>
      <c r="F68">
        <v>35</v>
      </c>
      <c r="G68">
        <v>245000</v>
      </c>
      <c r="H68">
        <v>7000</v>
      </c>
      <c r="I68" s="2">
        <v>46113</v>
      </c>
    </row>
    <row r="69" spans="1:9" x14ac:dyDescent="0.35">
      <c r="A69" t="s">
        <v>1109</v>
      </c>
      <c r="B69" s="2">
        <v>46150</v>
      </c>
      <c r="C69" t="s">
        <v>1041</v>
      </c>
      <c r="D69" t="s">
        <v>11</v>
      </c>
      <c r="E69" t="s">
        <v>22</v>
      </c>
      <c r="F69">
        <v>182</v>
      </c>
      <c r="G69">
        <v>163800</v>
      </c>
      <c r="H69">
        <v>900</v>
      </c>
      <c r="I69" s="2">
        <v>46143</v>
      </c>
    </row>
    <row r="70" spans="1:9" x14ac:dyDescent="0.35">
      <c r="A70" t="s">
        <v>1110</v>
      </c>
      <c r="B70" s="2">
        <v>46126</v>
      </c>
      <c r="C70" t="s">
        <v>1038</v>
      </c>
      <c r="D70" t="s">
        <v>16</v>
      </c>
      <c r="E70" t="s">
        <v>46</v>
      </c>
      <c r="F70">
        <v>117</v>
      </c>
      <c r="G70">
        <v>1404000</v>
      </c>
      <c r="H70">
        <v>12000</v>
      </c>
      <c r="I70" s="2">
        <v>46113</v>
      </c>
    </row>
    <row r="71" spans="1:9" x14ac:dyDescent="0.35">
      <c r="A71" t="s">
        <v>1111</v>
      </c>
      <c r="B71" s="2">
        <v>46199</v>
      </c>
      <c r="C71" t="s">
        <v>1045</v>
      </c>
      <c r="D71" t="s">
        <v>35</v>
      </c>
      <c r="E71" t="s">
        <v>55</v>
      </c>
      <c r="F71">
        <v>175</v>
      </c>
      <c r="G71">
        <v>1575000</v>
      </c>
      <c r="H71">
        <v>9000</v>
      </c>
      <c r="I71" s="2">
        <v>46174</v>
      </c>
    </row>
    <row r="72" spans="1:9" x14ac:dyDescent="0.35">
      <c r="A72" t="s">
        <v>1112</v>
      </c>
      <c r="B72" s="2">
        <v>46201</v>
      </c>
      <c r="C72" t="s">
        <v>1043</v>
      </c>
      <c r="D72" t="s">
        <v>20</v>
      </c>
      <c r="E72" t="s">
        <v>22</v>
      </c>
      <c r="F72">
        <v>21</v>
      </c>
      <c r="G72">
        <v>18900</v>
      </c>
      <c r="H72">
        <v>900</v>
      </c>
      <c r="I72" s="2">
        <v>46174</v>
      </c>
    </row>
    <row r="73" spans="1:9" x14ac:dyDescent="0.35">
      <c r="A73" t="s">
        <v>1113</v>
      </c>
      <c r="B73" s="2">
        <v>46191</v>
      </c>
      <c r="C73" t="s">
        <v>1052</v>
      </c>
      <c r="D73" t="s">
        <v>20</v>
      </c>
      <c r="E73" t="s">
        <v>22</v>
      </c>
      <c r="F73">
        <v>188</v>
      </c>
      <c r="G73">
        <v>169200</v>
      </c>
      <c r="H73">
        <v>900</v>
      </c>
      <c r="I73" s="2">
        <v>46174</v>
      </c>
    </row>
    <row r="74" spans="1:9" x14ac:dyDescent="0.35">
      <c r="A74" t="s">
        <v>1114</v>
      </c>
      <c r="B74" s="2">
        <v>46168</v>
      </c>
      <c r="C74" t="s">
        <v>1043</v>
      </c>
      <c r="D74" t="s">
        <v>35</v>
      </c>
      <c r="E74" t="s">
        <v>46</v>
      </c>
      <c r="F74">
        <v>111</v>
      </c>
      <c r="G74">
        <v>1332000</v>
      </c>
      <c r="H74">
        <v>12000</v>
      </c>
      <c r="I74" s="2">
        <v>46143</v>
      </c>
    </row>
    <row r="75" spans="1:9" x14ac:dyDescent="0.35">
      <c r="A75" t="s">
        <v>1115</v>
      </c>
      <c r="B75" s="2">
        <v>46134</v>
      </c>
      <c r="C75" t="s">
        <v>1052</v>
      </c>
      <c r="D75" t="s">
        <v>20</v>
      </c>
      <c r="E75" t="s">
        <v>32</v>
      </c>
      <c r="F75">
        <v>200</v>
      </c>
      <c r="G75">
        <v>100000</v>
      </c>
      <c r="H75">
        <v>500</v>
      </c>
      <c r="I75" s="2">
        <v>46113</v>
      </c>
    </row>
    <row r="76" spans="1:9" x14ac:dyDescent="0.35">
      <c r="A76" t="s">
        <v>1116</v>
      </c>
      <c r="B76" s="2">
        <v>46179</v>
      </c>
      <c r="C76" t="s">
        <v>1041</v>
      </c>
      <c r="D76" t="s">
        <v>20</v>
      </c>
      <c r="E76" t="s">
        <v>32</v>
      </c>
      <c r="F76">
        <v>250</v>
      </c>
      <c r="G76">
        <v>125000</v>
      </c>
      <c r="H76">
        <v>500</v>
      </c>
      <c r="I76" s="2">
        <v>46174</v>
      </c>
    </row>
    <row r="77" spans="1:9" x14ac:dyDescent="0.35">
      <c r="A77" t="s">
        <v>1117</v>
      </c>
      <c r="B77" s="2">
        <v>46168</v>
      </c>
      <c r="C77" t="s">
        <v>1043</v>
      </c>
      <c r="D77" t="s">
        <v>11</v>
      </c>
      <c r="E77" t="s">
        <v>43</v>
      </c>
      <c r="F77">
        <v>167</v>
      </c>
      <c r="G77">
        <v>417500</v>
      </c>
      <c r="H77">
        <v>2500</v>
      </c>
      <c r="I77" s="2">
        <v>46143</v>
      </c>
    </row>
    <row r="78" spans="1:9" x14ac:dyDescent="0.35">
      <c r="A78" t="s">
        <v>1118</v>
      </c>
      <c r="B78" s="2">
        <v>46131</v>
      </c>
      <c r="C78" t="s">
        <v>1038</v>
      </c>
      <c r="D78" t="s">
        <v>35</v>
      </c>
      <c r="E78" t="s">
        <v>22</v>
      </c>
      <c r="F78">
        <v>299</v>
      </c>
      <c r="G78">
        <v>269100</v>
      </c>
      <c r="H78">
        <v>900</v>
      </c>
      <c r="I78" s="2">
        <v>46113</v>
      </c>
    </row>
    <row r="79" spans="1:9" x14ac:dyDescent="0.35">
      <c r="A79" t="s">
        <v>1119</v>
      </c>
      <c r="B79" s="2">
        <v>46169</v>
      </c>
      <c r="C79" t="s">
        <v>1045</v>
      </c>
      <c r="D79" t="s">
        <v>11</v>
      </c>
      <c r="E79" t="s">
        <v>46</v>
      </c>
      <c r="F79">
        <v>208</v>
      </c>
      <c r="G79">
        <v>2496000</v>
      </c>
      <c r="H79">
        <v>12000</v>
      </c>
      <c r="I79" s="2">
        <v>46143</v>
      </c>
    </row>
    <row r="80" spans="1:9" x14ac:dyDescent="0.35">
      <c r="A80" t="s">
        <v>1120</v>
      </c>
      <c r="B80" s="2">
        <v>46156</v>
      </c>
      <c r="C80" t="s">
        <v>1038</v>
      </c>
      <c r="D80" t="s">
        <v>11</v>
      </c>
      <c r="E80" t="s">
        <v>12</v>
      </c>
      <c r="F80">
        <v>147</v>
      </c>
      <c r="G80">
        <v>1029000</v>
      </c>
      <c r="H80">
        <v>7000</v>
      </c>
      <c r="I80" s="2">
        <v>46143</v>
      </c>
    </row>
    <row r="81" spans="1:9" x14ac:dyDescent="0.35">
      <c r="A81" t="s">
        <v>1121</v>
      </c>
      <c r="B81" s="2">
        <v>46147</v>
      </c>
      <c r="C81" t="s">
        <v>1045</v>
      </c>
      <c r="D81" t="s">
        <v>20</v>
      </c>
      <c r="E81" t="s">
        <v>32</v>
      </c>
      <c r="F81">
        <v>26</v>
      </c>
      <c r="G81">
        <v>13000</v>
      </c>
      <c r="H81">
        <v>500</v>
      </c>
      <c r="I81" s="2">
        <v>46143</v>
      </c>
    </row>
    <row r="82" spans="1:9" x14ac:dyDescent="0.35">
      <c r="A82" t="s">
        <v>1122</v>
      </c>
      <c r="B82" s="2">
        <v>46113</v>
      </c>
      <c r="C82" t="s">
        <v>1043</v>
      </c>
      <c r="D82" t="s">
        <v>20</v>
      </c>
      <c r="E82" t="s">
        <v>12</v>
      </c>
      <c r="F82">
        <v>66</v>
      </c>
      <c r="G82">
        <v>462000</v>
      </c>
      <c r="H82">
        <v>7000</v>
      </c>
      <c r="I82" s="2">
        <v>46113</v>
      </c>
    </row>
    <row r="83" spans="1:9" x14ac:dyDescent="0.35">
      <c r="A83" t="s">
        <v>1123</v>
      </c>
      <c r="B83" s="2">
        <v>46164</v>
      </c>
      <c r="C83" t="s">
        <v>1043</v>
      </c>
      <c r="D83" t="s">
        <v>35</v>
      </c>
      <c r="E83" t="s">
        <v>46</v>
      </c>
      <c r="F83">
        <v>72</v>
      </c>
      <c r="G83">
        <v>864000</v>
      </c>
      <c r="H83">
        <v>12000</v>
      </c>
      <c r="I83" s="2">
        <v>46143</v>
      </c>
    </row>
    <row r="84" spans="1:9" x14ac:dyDescent="0.35">
      <c r="A84" t="s">
        <v>1124</v>
      </c>
      <c r="B84" s="2">
        <v>46197</v>
      </c>
      <c r="C84" t="s">
        <v>1045</v>
      </c>
      <c r="D84" t="s">
        <v>20</v>
      </c>
      <c r="E84" t="s">
        <v>46</v>
      </c>
      <c r="F84">
        <v>206</v>
      </c>
      <c r="G84">
        <v>2472000</v>
      </c>
      <c r="H84">
        <v>12000</v>
      </c>
      <c r="I84" s="2">
        <v>46174</v>
      </c>
    </row>
    <row r="85" spans="1:9" x14ac:dyDescent="0.35">
      <c r="A85" t="s">
        <v>1125</v>
      </c>
      <c r="B85" s="2">
        <v>46182</v>
      </c>
      <c r="C85" t="s">
        <v>1041</v>
      </c>
      <c r="D85" t="s">
        <v>20</v>
      </c>
      <c r="E85" t="s">
        <v>17</v>
      </c>
      <c r="F85">
        <v>57</v>
      </c>
      <c r="G85">
        <v>102600</v>
      </c>
      <c r="H85">
        <v>1800</v>
      </c>
      <c r="I85" s="2">
        <v>46174</v>
      </c>
    </row>
    <row r="86" spans="1:9" x14ac:dyDescent="0.35">
      <c r="A86" t="s">
        <v>1126</v>
      </c>
      <c r="B86" s="2">
        <v>46149</v>
      </c>
      <c r="C86" t="s">
        <v>1052</v>
      </c>
      <c r="D86" t="s">
        <v>35</v>
      </c>
      <c r="E86" t="s">
        <v>22</v>
      </c>
      <c r="F86">
        <v>245</v>
      </c>
      <c r="G86">
        <v>220500</v>
      </c>
      <c r="H86">
        <v>900</v>
      </c>
      <c r="I86" s="2">
        <v>46143</v>
      </c>
    </row>
    <row r="87" spans="1:9" x14ac:dyDescent="0.35">
      <c r="A87" t="s">
        <v>1127</v>
      </c>
      <c r="B87" s="2">
        <v>46177</v>
      </c>
      <c r="C87" t="s">
        <v>1038</v>
      </c>
      <c r="D87" t="s">
        <v>20</v>
      </c>
      <c r="E87" t="s">
        <v>17</v>
      </c>
      <c r="F87">
        <v>72</v>
      </c>
      <c r="G87">
        <v>129600</v>
      </c>
      <c r="H87">
        <v>1800</v>
      </c>
      <c r="I87" s="2">
        <v>46174</v>
      </c>
    </row>
    <row r="88" spans="1:9" x14ac:dyDescent="0.35">
      <c r="A88" t="s">
        <v>1128</v>
      </c>
      <c r="B88" s="2">
        <v>46163</v>
      </c>
      <c r="C88" t="s">
        <v>1038</v>
      </c>
      <c r="D88" t="s">
        <v>11</v>
      </c>
      <c r="E88" t="s">
        <v>12</v>
      </c>
      <c r="F88">
        <v>243</v>
      </c>
      <c r="G88">
        <v>1701000</v>
      </c>
      <c r="H88">
        <v>7000</v>
      </c>
      <c r="I88" s="2">
        <v>46143</v>
      </c>
    </row>
    <row r="89" spans="1:9" x14ac:dyDescent="0.35">
      <c r="A89" t="s">
        <v>1129</v>
      </c>
      <c r="B89" s="2">
        <v>46113</v>
      </c>
      <c r="C89" t="s">
        <v>1038</v>
      </c>
      <c r="D89" t="s">
        <v>35</v>
      </c>
      <c r="E89" t="s">
        <v>17</v>
      </c>
      <c r="F89">
        <v>173</v>
      </c>
      <c r="G89">
        <v>311400</v>
      </c>
      <c r="H89">
        <v>1800</v>
      </c>
      <c r="I89" s="2">
        <v>46113</v>
      </c>
    </row>
    <row r="90" spans="1:9" x14ac:dyDescent="0.35">
      <c r="A90" t="s">
        <v>1130</v>
      </c>
      <c r="B90" s="2">
        <v>46203</v>
      </c>
      <c r="C90" t="s">
        <v>1043</v>
      </c>
      <c r="D90" t="s">
        <v>20</v>
      </c>
      <c r="E90" t="s">
        <v>43</v>
      </c>
      <c r="F90">
        <v>67</v>
      </c>
      <c r="G90">
        <v>167500</v>
      </c>
      <c r="H90">
        <v>2500</v>
      </c>
      <c r="I90" s="2">
        <v>46174</v>
      </c>
    </row>
    <row r="91" spans="1:9" x14ac:dyDescent="0.35">
      <c r="A91" t="s">
        <v>1131</v>
      </c>
      <c r="B91" s="2">
        <v>46133</v>
      </c>
      <c r="C91" t="s">
        <v>1038</v>
      </c>
      <c r="D91" t="s">
        <v>16</v>
      </c>
      <c r="E91" t="s">
        <v>22</v>
      </c>
      <c r="F91">
        <v>166</v>
      </c>
      <c r="G91">
        <v>149400</v>
      </c>
      <c r="H91">
        <v>900</v>
      </c>
      <c r="I91" s="2">
        <v>46113</v>
      </c>
    </row>
    <row r="92" spans="1:9" x14ac:dyDescent="0.35">
      <c r="A92" t="s">
        <v>1132</v>
      </c>
      <c r="B92" s="2">
        <v>46165</v>
      </c>
      <c r="C92" t="s">
        <v>1052</v>
      </c>
      <c r="D92" t="s">
        <v>35</v>
      </c>
      <c r="E92" t="s">
        <v>24</v>
      </c>
      <c r="F92">
        <v>83</v>
      </c>
      <c r="G92">
        <v>3735000</v>
      </c>
      <c r="H92">
        <v>45000</v>
      </c>
      <c r="I92" s="2">
        <v>46143</v>
      </c>
    </row>
    <row r="93" spans="1:9" x14ac:dyDescent="0.35">
      <c r="A93" t="s">
        <v>1133</v>
      </c>
      <c r="B93" s="2">
        <v>46128</v>
      </c>
      <c r="C93" t="s">
        <v>1052</v>
      </c>
      <c r="D93" t="s">
        <v>35</v>
      </c>
      <c r="E93" t="s">
        <v>17</v>
      </c>
      <c r="F93">
        <v>201</v>
      </c>
      <c r="G93">
        <v>361800</v>
      </c>
      <c r="H93">
        <v>1800</v>
      </c>
      <c r="I93" s="2">
        <v>46113</v>
      </c>
    </row>
    <row r="94" spans="1:9" x14ac:dyDescent="0.35">
      <c r="A94" t="s">
        <v>1134</v>
      </c>
      <c r="B94" s="2">
        <v>46173</v>
      </c>
      <c r="C94" t="s">
        <v>1045</v>
      </c>
      <c r="D94" t="s">
        <v>16</v>
      </c>
      <c r="E94" t="s">
        <v>12</v>
      </c>
      <c r="F94">
        <v>144</v>
      </c>
      <c r="G94">
        <v>1008000</v>
      </c>
      <c r="H94">
        <v>7000</v>
      </c>
      <c r="I94" s="2">
        <v>46143</v>
      </c>
    </row>
    <row r="95" spans="1:9" x14ac:dyDescent="0.35">
      <c r="A95" t="s">
        <v>1135</v>
      </c>
      <c r="B95" s="2">
        <v>46166</v>
      </c>
      <c r="C95" t="s">
        <v>1043</v>
      </c>
      <c r="D95" t="s">
        <v>20</v>
      </c>
      <c r="E95" t="s">
        <v>32</v>
      </c>
      <c r="F95">
        <v>198</v>
      </c>
      <c r="G95">
        <v>99000</v>
      </c>
      <c r="H95">
        <v>500</v>
      </c>
      <c r="I95" s="2">
        <v>46143</v>
      </c>
    </row>
    <row r="96" spans="1:9" x14ac:dyDescent="0.35">
      <c r="A96" t="s">
        <v>1136</v>
      </c>
      <c r="B96" s="2">
        <v>46152</v>
      </c>
      <c r="C96" t="s">
        <v>1052</v>
      </c>
      <c r="D96" t="s">
        <v>20</v>
      </c>
      <c r="E96" t="s">
        <v>32</v>
      </c>
      <c r="F96">
        <v>58</v>
      </c>
      <c r="G96">
        <v>29000</v>
      </c>
      <c r="H96">
        <v>500</v>
      </c>
      <c r="I96" s="2">
        <v>46143</v>
      </c>
    </row>
    <row r="97" spans="1:9" x14ac:dyDescent="0.35">
      <c r="A97" t="s">
        <v>1137</v>
      </c>
      <c r="B97" s="2">
        <v>46138</v>
      </c>
      <c r="C97" t="s">
        <v>1041</v>
      </c>
      <c r="D97" t="s">
        <v>35</v>
      </c>
      <c r="E97" t="s">
        <v>32</v>
      </c>
      <c r="F97">
        <v>279</v>
      </c>
      <c r="G97">
        <v>139500</v>
      </c>
      <c r="H97">
        <v>500</v>
      </c>
      <c r="I97" s="2">
        <v>46113</v>
      </c>
    </row>
    <row r="98" spans="1:9" x14ac:dyDescent="0.35">
      <c r="A98" t="s">
        <v>1138</v>
      </c>
      <c r="B98" s="2">
        <v>46192</v>
      </c>
      <c r="C98" t="s">
        <v>1043</v>
      </c>
      <c r="D98" t="s">
        <v>35</v>
      </c>
      <c r="E98" t="s">
        <v>55</v>
      </c>
      <c r="F98">
        <v>22</v>
      </c>
      <c r="G98">
        <v>198000</v>
      </c>
      <c r="H98">
        <v>9000</v>
      </c>
      <c r="I98" s="2">
        <v>46174</v>
      </c>
    </row>
    <row r="99" spans="1:9" x14ac:dyDescent="0.35">
      <c r="A99" t="s">
        <v>1139</v>
      </c>
      <c r="B99" s="2">
        <v>46177</v>
      </c>
      <c r="C99" t="s">
        <v>1043</v>
      </c>
      <c r="D99" t="s">
        <v>20</v>
      </c>
      <c r="E99" t="s">
        <v>46</v>
      </c>
      <c r="F99">
        <v>83</v>
      </c>
      <c r="G99">
        <v>996000</v>
      </c>
      <c r="H99">
        <v>12000</v>
      </c>
      <c r="I99" s="2">
        <v>46174</v>
      </c>
    </row>
    <row r="100" spans="1:9" x14ac:dyDescent="0.35">
      <c r="A100" t="s">
        <v>1140</v>
      </c>
      <c r="B100" s="2">
        <v>46186</v>
      </c>
      <c r="C100" t="s">
        <v>1052</v>
      </c>
      <c r="D100" t="s">
        <v>20</v>
      </c>
      <c r="E100" t="s">
        <v>22</v>
      </c>
      <c r="F100">
        <v>48</v>
      </c>
      <c r="G100">
        <v>43200</v>
      </c>
      <c r="H100">
        <v>900</v>
      </c>
      <c r="I100" s="2">
        <v>46174</v>
      </c>
    </row>
    <row r="101" spans="1:9" x14ac:dyDescent="0.35">
      <c r="A101" t="s">
        <v>1141</v>
      </c>
      <c r="B101" s="2">
        <v>46176</v>
      </c>
      <c r="C101" t="s">
        <v>1041</v>
      </c>
      <c r="D101" t="s">
        <v>11</v>
      </c>
      <c r="E101" t="s">
        <v>32</v>
      </c>
      <c r="F101">
        <v>30</v>
      </c>
      <c r="G101">
        <v>15000</v>
      </c>
      <c r="H101">
        <v>500</v>
      </c>
      <c r="I101" s="2">
        <v>46174</v>
      </c>
    </row>
    <row r="102" spans="1:9" x14ac:dyDescent="0.35">
      <c r="A102" t="s">
        <v>1142</v>
      </c>
      <c r="B102" s="2">
        <v>46155</v>
      </c>
      <c r="C102" t="s">
        <v>1045</v>
      </c>
      <c r="D102" t="s">
        <v>35</v>
      </c>
      <c r="E102" t="s">
        <v>24</v>
      </c>
      <c r="F102">
        <v>116</v>
      </c>
      <c r="G102">
        <v>5220000</v>
      </c>
      <c r="H102">
        <v>45000</v>
      </c>
      <c r="I102" s="2">
        <v>46143</v>
      </c>
    </row>
    <row r="103" spans="1:9" x14ac:dyDescent="0.35">
      <c r="A103" t="s">
        <v>1143</v>
      </c>
      <c r="B103" s="2">
        <v>46129</v>
      </c>
      <c r="C103" t="s">
        <v>1052</v>
      </c>
      <c r="D103" t="s">
        <v>35</v>
      </c>
      <c r="E103" t="s">
        <v>32</v>
      </c>
      <c r="F103">
        <v>222</v>
      </c>
      <c r="G103">
        <v>111000</v>
      </c>
      <c r="H103">
        <v>500</v>
      </c>
      <c r="I103" s="2">
        <v>46113</v>
      </c>
    </row>
    <row r="104" spans="1:9" x14ac:dyDescent="0.35">
      <c r="A104" t="s">
        <v>1144</v>
      </c>
      <c r="B104" s="2">
        <v>46171</v>
      </c>
      <c r="C104" t="s">
        <v>1041</v>
      </c>
      <c r="D104" t="s">
        <v>16</v>
      </c>
      <c r="E104" t="s">
        <v>43</v>
      </c>
      <c r="F104">
        <v>40</v>
      </c>
      <c r="G104">
        <v>100000</v>
      </c>
      <c r="H104">
        <v>2500</v>
      </c>
      <c r="I104" s="2">
        <v>46143</v>
      </c>
    </row>
    <row r="105" spans="1:9" x14ac:dyDescent="0.35">
      <c r="A105" t="s">
        <v>1145</v>
      </c>
      <c r="B105" s="2">
        <v>46135</v>
      </c>
      <c r="C105" t="s">
        <v>1043</v>
      </c>
      <c r="D105" t="s">
        <v>11</v>
      </c>
      <c r="E105" t="s">
        <v>46</v>
      </c>
      <c r="F105">
        <v>58</v>
      </c>
      <c r="G105">
        <v>696000</v>
      </c>
      <c r="H105">
        <v>12000</v>
      </c>
      <c r="I105" s="2">
        <v>46113</v>
      </c>
    </row>
    <row r="106" spans="1:9" x14ac:dyDescent="0.35">
      <c r="A106" t="s">
        <v>1146</v>
      </c>
      <c r="B106" s="2">
        <v>46119</v>
      </c>
      <c r="C106" t="s">
        <v>1041</v>
      </c>
      <c r="D106" t="s">
        <v>20</v>
      </c>
      <c r="E106" t="s">
        <v>12</v>
      </c>
      <c r="F106">
        <v>242</v>
      </c>
      <c r="G106">
        <v>1694000</v>
      </c>
      <c r="H106">
        <v>7000</v>
      </c>
      <c r="I106" s="2">
        <v>46113</v>
      </c>
    </row>
    <row r="107" spans="1:9" x14ac:dyDescent="0.35">
      <c r="A107" t="s">
        <v>1147</v>
      </c>
      <c r="B107" s="2">
        <v>46156</v>
      </c>
      <c r="C107" t="s">
        <v>1043</v>
      </c>
      <c r="D107" t="s">
        <v>11</v>
      </c>
      <c r="E107" t="s">
        <v>46</v>
      </c>
      <c r="F107">
        <v>121</v>
      </c>
      <c r="G107">
        <v>1452000</v>
      </c>
      <c r="H107">
        <v>12000</v>
      </c>
      <c r="I107" s="2">
        <v>46143</v>
      </c>
    </row>
    <row r="108" spans="1:9" x14ac:dyDescent="0.35">
      <c r="A108" t="s">
        <v>1148</v>
      </c>
      <c r="B108" s="2">
        <v>46165</v>
      </c>
      <c r="C108" t="s">
        <v>1052</v>
      </c>
      <c r="D108" t="s">
        <v>20</v>
      </c>
      <c r="E108" t="s">
        <v>17</v>
      </c>
      <c r="F108">
        <v>65</v>
      </c>
      <c r="G108">
        <v>117000</v>
      </c>
      <c r="H108">
        <v>1800</v>
      </c>
      <c r="I108" s="2">
        <v>46143</v>
      </c>
    </row>
    <row r="109" spans="1:9" x14ac:dyDescent="0.35">
      <c r="A109" t="s">
        <v>1149</v>
      </c>
      <c r="B109" s="2">
        <v>46183</v>
      </c>
      <c r="C109" t="s">
        <v>1052</v>
      </c>
      <c r="D109" t="s">
        <v>20</v>
      </c>
      <c r="E109" t="s">
        <v>12</v>
      </c>
      <c r="F109">
        <v>85</v>
      </c>
      <c r="G109">
        <v>595000</v>
      </c>
      <c r="H109">
        <v>7000</v>
      </c>
      <c r="I109" s="2">
        <v>46174</v>
      </c>
    </row>
    <row r="110" spans="1:9" x14ac:dyDescent="0.35">
      <c r="A110" t="s">
        <v>1150</v>
      </c>
      <c r="B110" s="2">
        <v>46191</v>
      </c>
      <c r="C110" t="s">
        <v>1038</v>
      </c>
      <c r="D110" t="s">
        <v>11</v>
      </c>
      <c r="E110" t="s">
        <v>12</v>
      </c>
      <c r="F110">
        <v>110</v>
      </c>
      <c r="G110">
        <v>770000</v>
      </c>
      <c r="H110">
        <v>7000</v>
      </c>
      <c r="I110" s="2">
        <v>46174</v>
      </c>
    </row>
    <row r="111" spans="1:9" x14ac:dyDescent="0.35">
      <c r="A111" t="s">
        <v>1151</v>
      </c>
      <c r="B111" s="2">
        <v>46146</v>
      </c>
      <c r="C111" t="s">
        <v>1038</v>
      </c>
      <c r="D111" t="s">
        <v>35</v>
      </c>
      <c r="E111" t="s">
        <v>17</v>
      </c>
      <c r="F111">
        <v>183</v>
      </c>
      <c r="G111">
        <v>329400</v>
      </c>
      <c r="H111">
        <v>1800</v>
      </c>
      <c r="I111" s="2">
        <v>46143</v>
      </c>
    </row>
    <row r="112" spans="1:9" x14ac:dyDescent="0.35">
      <c r="A112" t="s">
        <v>1152</v>
      </c>
      <c r="B112" s="2">
        <v>46158</v>
      </c>
      <c r="C112" t="s">
        <v>1038</v>
      </c>
      <c r="D112" t="s">
        <v>20</v>
      </c>
      <c r="E112" t="s">
        <v>22</v>
      </c>
      <c r="F112">
        <v>130</v>
      </c>
      <c r="G112">
        <v>117000</v>
      </c>
      <c r="H112">
        <v>900</v>
      </c>
      <c r="I112" s="2">
        <v>46143</v>
      </c>
    </row>
    <row r="113" spans="1:9" x14ac:dyDescent="0.35">
      <c r="A113" t="s">
        <v>1153</v>
      </c>
      <c r="B113" s="2">
        <v>46180</v>
      </c>
      <c r="C113" t="s">
        <v>1052</v>
      </c>
      <c r="D113" t="s">
        <v>11</v>
      </c>
      <c r="E113" t="s">
        <v>17</v>
      </c>
      <c r="F113">
        <v>142</v>
      </c>
      <c r="G113">
        <v>255600</v>
      </c>
      <c r="H113">
        <v>1800</v>
      </c>
      <c r="I113" s="2">
        <v>46174</v>
      </c>
    </row>
    <row r="114" spans="1:9" x14ac:dyDescent="0.35">
      <c r="A114" t="s">
        <v>1154</v>
      </c>
      <c r="B114" s="2">
        <v>46190</v>
      </c>
      <c r="C114" t="s">
        <v>1045</v>
      </c>
      <c r="D114" t="s">
        <v>16</v>
      </c>
      <c r="E114" t="s">
        <v>55</v>
      </c>
      <c r="F114">
        <v>212</v>
      </c>
      <c r="G114">
        <v>1908000</v>
      </c>
      <c r="H114">
        <v>9000</v>
      </c>
      <c r="I114" s="2">
        <v>46174</v>
      </c>
    </row>
    <row r="115" spans="1:9" x14ac:dyDescent="0.35">
      <c r="A115" t="s">
        <v>1155</v>
      </c>
      <c r="B115" s="2">
        <v>46190</v>
      </c>
      <c r="C115" t="s">
        <v>1052</v>
      </c>
      <c r="D115" t="s">
        <v>11</v>
      </c>
      <c r="E115" t="s">
        <v>12</v>
      </c>
      <c r="F115">
        <v>118</v>
      </c>
      <c r="G115">
        <v>826000</v>
      </c>
      <c r="H115">
        <v>7000</v>
      </c>
      <c r="I115" s="2">
        <v>46174</v>
      </c>
    </row>
    <row r="116" spans="1:9" x14ac:dyDescent="0.35">
      <c r="A116" t="s">
        <v>1156</v>
      </c>
      <c r="B116" s="2">
        <v>46128</v>
      </c>
      <c r="C116" t="s">
        <v>1041</v>
      </c>
      <c r="D116" t="s">
        <v>16</v>
      </c>
      <c r="E116" t="s">
        <v>12</v>
      </c>
      <c r="F116">
        <v>178</v>
      </c>
      <c r="G116">
        <v>1246000</v>
      </c>
      <c r="H116">
        <v>7000</v>
      </c>
      <c r="I116" s="2">
        <v>46113</v>
      </c>
    </row>
    <row r="117" spans="1:9" x14ac:dyDescent="0.35">
      <c r="A117" t="s">
        <v>1157</v>
      </c>
      <c r="B117" s="2">
        <v>46183</v>
      </c>
      <c r="C117" t="s">
        <v>1052</v>
      </c>
      <c r="D117" t="s">
        <v>20</v>
      </c>
      <c r="E117" t="s">
        <v>17</v>
      </c>
      <c r="F117">
        <v>122</v>
      </c>
      <c r="G117">
        <v>219600</v>
      </c>
      <c r="H117">
        <v>1800</v>
      </c>
      <c r="I117" s="2">
        <v>46174</v>
      </c>
    </row>
    <row r="118" spans="1:9" x14ac:dyDescent="0.35">
      <c r="A118" t="s">
        <v>1158</v>
      </c>
      <c r="B118" s="2">
        <v>46131</v>
      </c>
      <c r="C118" t="s">
        <v>1052</v>
      </c>
      <c r="D118" t="s">
        <v>11</v>
      </c>
      <c r="E118" t="s">
        <v>22</v>
      </c>
      <c r="F118">
        <v>300</v>
      </c>
      <c r="G118">
        <v>270000</v>
      </c>
      <c r="H118">
        <v>900</v>
      </c>
      <c r="I118" s="2">
        <v>46113</v>
      </c>
    </row>
    <row r="119" spans="1:9" x14ac:dyDescent="0.35">
      <c r="A119" t="s">
        <v>1159</v>
      </c>
      <c r="B119" s="2">
        <v>46114</v>
      </c>
      <c r="C119" t="s">
        <v>1043</v>
      </c>
      <c r="D119" t="s">
        <v>11</v>
      </c>
      <c r="E119" t="s">
        <v>32</v>
      </c>
      <c r="F119">
        <v>62</v>
      </c>
      <c r="G119">
        <v>31000</v>
      </c>
      <c r="H119">
        <v>500</v>
      </c>
      <c r="I119" s="2">
        <v>46113</v>
      </c>
    </row>
    <row r="120" spans="1:9" x14ac:dyDescent="0.35">
      <c r="A120" t="s">
        <v>1160</v>
      </c>
      <c r="B120" s="2">
        <v>46122</v>
      </c>
      <c r="C120" t="s">
        <v>1043</v>
      </c>
      <c r="D120" t="s">
        <v>16</v>
      </c>
      <c r="E120" t="s">
        <v>43</v>
      </c>
      <c r="F120">
        <v>103</v>
      </c>
      <c r="G120">
        <v>257500</v>
      </c>
      <c r="H120">
        <v>2500</v>
      </c>
      <c r="I120" s="2">
        <v>46113</v>
      </c>
    </row>
    <row r="121" spans="1:9" x14ac:dyDescent="0.35">
      <c r="A121" t="s">
        <v>1161</v>
      </c>
      <c r="B121" s="2">
        <v>46162</v>
      </c>
      <c r="C121" t="s">
        <v>1043</v>
      </c>
      <c r="D121" t="s">
        <v>11</v>
      </c>
      <c r="E121" t="s">
        <v>24</v>
      </c>
      <c r="F121">
        <v>210</v>
      </c>
      <c r="G121">
        <v>9450000</v>
      </c>
      <c r="H121">
        <v>45000</v>
      </c>
      <c r="I121" s="2">
        <v>46143</v>
      </c>
    </row>
    <row r="122" spans="1:9" x14ac:dyDescent="0.35">
      <c r="A122" t="s">
        <v>1162</v>
      </c>
      <c r="B122" s="2">
        <v>46193</v>
      </c>
      <c r="C122" t="s">
        <v>1052</v>
      </c>
      <c r="D122" t="s">
        <v>11</v>
      </c>
      <c r="E122" t="s">
        <v>22</v>
      </c>
      <c r="F122">
        <v>70</v>
      </c>
      <c r="G122">
        <v>63000</v>
      </c>
      <c r="H122">
        <v>900</v>
      </c>
      <c r="I122" s="2">
        <v>46174</v>
      </c>
    </row>
    <row r="123" spans="1:9" x14ac:dyDescent="0.35">
      <c r="A123" t="s">
        <v>1163</v>
      </c>
      <c r="B123" s="2">
        <v>46124</v>
      </c>
      <c r="C123" t="s">
        <v>1045</v>
      </c>
      <c r="D123" t="s">
        <v>20</v>
      </c>
      <c r="E123" t="s">
        <v>55</v>
      </c>
      <c r="F123">
        <v>229</v>
      </c>
      <c r="G123">
        <v>2061000</v>
      </c>
      <c r="H123">
        <v>9000</v>
      </c>
      <c r="I123" s="2">
        <v>46113</v>
      </c>
    </row>
    <row r="124" spans="1:9" x14ac:dyDescent="0.35">
      <c r="A124" t="s">
        <v>1164</v>
      </c>
      <c r="B124" s="2">
        <v>46182</v>
      </c>
      <c r="C124" t="s">
        <v>1041</v>
      </c>
      <c r="D124" t="s">
        <v>11</v>
      </c>
      <c r="E124" t="s">
        <v>22</v>
      </c>
      <c r="F124">
        <v>145</v>
      </c>
      <c r="G124">
        <v>130500</v>
      </c>
      <c r="H124">
        <v>900</v>
      </c>
      <c r="I124" s="2">
        <v>46174</v>
      </c>
    </row>
    <row r="125" spans="1:9" x14ac:dyDescent="0.35">
      <c r="A125" t="s">
        <v>1165</v>
      </c>
      <c r="B125" s="2">
        <v>46134</v>
      </c>
      <c r="C125" t="s">
        <v>1041</v>
      </c>
      <c r="D125" t="s">
        <v>35</v>
      </c>
      <c r="E125" t="s">
        <v>46</v>
      </c>
      <c r="F125">
        <v>88</v>
      </c>
      <c r="G125">
        <v>1056000</v>
      </c>
      <c r="H125">
        <v>12000</v>
      </c>
      <c r="I125" s="2">
        <v>46113</v>
      </c>
    </row>
    <row r="126" spans="1:9" x14ac:dyDescent="0.35">
      <c r="A126" t="s">
        <v>1166</v>
      </c>
      <c r="B126" s="2">
        <v>46144</v>
      </c>
      <c r="C126" t="s">
        <v>1045</v>
      </c>
      <c r="D126" t="s">
        <v>16</v>
      </c>
      <c r="E126" t="s">
        <v>32</v>
      </c>
      <c r="F126">
        <v>284</v>
      </c>
      <c r="G126">
        <v>142000</v>
      </c>
      <c r="H126">
        <v>500</v>
      </c>
      <c r="I126" s="2">
        <v>46143</v>
      </c>
    </row>
    <row r="127" spans="1:9" x14ac:dyDescent="0.35">
      <c r="A127" t="s">
        <v>1167</v>
      </c>
      <c r="B127" s="2">
        <v>46196</v>
      </c>
      <c r="C127" t="s">
        <v>1045</v>
      </c>
      <c r="D127" t="s">
        <v>11</v>
      </c>
      <c r="E127" t="s">
        <v>32</v>
      </c>
      <c r="F127">
        <v>277</v>
      </c>
      <c r="G127">
        <v>138500</v>
      </c>
      <c r="H127">
        <v>500</v>
      </c>
      <c r="I127" s="2">
        <v>46174</v>
      </c>
    </row>
    <row r="128" spans="1:9" x14ac:dyDescent="0.35">
      <c r="A128" t="s">
        <v>1168</v>
      </c>
      <c r="B128" s="2">
        <v>46113</v>
      </c>
      <c r="C128" t="s">
        <v>1041</v>
      </c>
      <c r="D128" t="s">
        <v>16</v>
      </c>
      <c r="E128" t="s">
        <v>12</v>
      </c>
      <c r="F128">
        <v>207</v>
      </c>
      <c r="G128">
        <v>1449000</v>
      </c>
      <c r="H128">
        <v>7000</v>
      </c>
      <c r="I128" s="2">
        <v>46113</v>
      </c>
    </row>
    <row r="129" spans="1:9" x14ac:dyDescent="0.35">
      <c r="A129" t="s">
        <v>1169</v>
      </c>
      <c r="B129" s="2">
        <v>46166</v>
      </c>
      <c r="C129" t="s">
        <v>1038</v>
      </c>
      <c r="D129" t="s">
        <v>16</v>
      </c>
      <c r="E129" t="s">
        <v>32</v>
      </c>
      <c r="F129">
        <v>249</v>
      </c>
      <c r="G129">
        <v>124500</v>
      </c>
      <c r="H129">
        <v>500</v>
      </c>
      <c r="I129" s="2">
        <v>46143</v>
      </c>
    </row>
    <row r="130" spans="1:9" x14ac:dyDescent="0.35">
      <c r="A130" t="s">
        <v>1170</v>
      </c>
      <c r="B130" s="2">
        <v>46170</v>
      </c>
      <c r="C130" t="s">
        <v>1043</v>
      </c>
      <c r="D130" t="s">
        <v>16</v>
      </c>
      <c r="E130" t="s">
        <v>32</v>
      </c>
      <c r="F130">
        <v>208</v>
      </c>
      <c r="G130">
        <v>104000</v>
      </c>
      <c r="H130">
        <v>500</v>
      </c>
      <c r="I130" s="2">
        <v>46143</v>
      </c>
    </row>
    <row r="131" spans="1:9" x14ac:dyDescent="0.35">
      <c r="A131" t="s">
        <v>1171</v>
      </c>
      <c r="B131" s="2">
        <v>46182</v>
      </c>
      <c r="C131" t="s">
        <v>1043</v>
      </c>
      <c r="D131" t="s">
        <v>11</v>
      </c>
      <c r="E131" t="s">
        <v>17</v>
      </c>
      <c r="F131">
        <v>29</v>
      </c>
      <c r="G131">
        <v>52200</v>
      </c>
      <c r="H131">
        <v>1800</v>
      </c>
      <c r="I131" s="2">
        <v>46174</v>
      </c>
    </row>
    <row r="132" spans="1:9" x14ac:dyDescent="0.35">
      <c r="A132" t="s">
        <v>1172</v>
      </c>
      <c r="B132" s="2">
        <v>46195</v>
      </c>
      <c r="C132" t="s">
        <v>1041</v>
      </c>
      <c r="D132" t="s">
        <v>11</v>
      </c>
      <c r="E132" t="s">
        <v>32</v>
      </c>
      <c r="F132">
        <v>133</v>
      </c>
      <c r="G132">
        <v>66500</v>
      </c>
      <c r="H132">
        <v>500</v>
      </c>
      <c r="I132" s="2">
        <v>46174</v>
      </c>
    </row>
    <row r="133" spans="1:9" x14ac:dyDescent="0.35">
      <c r="A133" t="s">
        <v>1173</v>
      </c>
      <c r="B133" s="2">
        <v>46130</v>
      </c>
      <c r="C133" t="s">
        <v>1045</v>
      </c>
      <c r="D133" t="s">
        <v>16</v>
      </c>
      <c r="E133" t="s">
        <v>32</v>
      </c>
      <c r="F133">
        <v>95</v>
      </c>
      <c r="G133">
        <v>47500</v>
      </c>
      <c r="H133">
        <v>500</v>
      </c>
      <c r="I133" s="2">
        <v>46113</v>
      </c>
    </row>
    <row r="134" spans="1:9" x14ac:dyDescent="0.35">
      <c r="A134" t="s">
        <v>1174</v>
      </c>
      <c r="B134" s="2">
        <v>46118</v>
      </c>
      <c r="C134" t="s">
        <v>1038</v>
      </c>
      <c r="D134" t="s">
        <v>35</v>
      </c>
      <c r="E134" t="s">
        <v>24</v>
      </c>
      <c r="F134">
        <v>183</v>
      </c>
      <c r="G134">
        <v>8235000</v>
      </c>
      <c r="H134">
        <v>45000</v>
      </c>
      <c r="I134" s="2">
        <v>46113</v>
      </c>
    </row>
    <row r="135" spans="1:9" x14ac:dyDescent="0.35">
      <c r="A135" t="s">
        <v>1175</v>
      </c>
      <c r="B135" s="2">
        <v>46157</v>
      </c>
      <c r="C135" t="s">
        <v>1041</v>
      </c>
      <c r="D135" t="s">
        <v>16</v>
      </c>
      <c r="E135" t="s">
        <v>55</v>
      </c>
      <c r="F135">
        <v>104</v>
      </c>
      <c r="G135">
        <v>936000</v>
      </c>
      <c r="H135">
        <v>9000</v>
      </c>
      <c r="I135" s="2">
        <v>46143</v>
      </c>
    </row>
    <row r="136" spans="1:9" x14ac:dyDescent="0.35">
      <c r="A136" t="s">
        <v>1176</v>
      </c>
      <c r="B136" s="2">
        <v>46135</v>
      </c>
      <c r="C136" t="s">
        <v>1043</v>
      </c>
      <c r="D136" t="s">
        <v>35</v>
      </c>
      <c r="E136" t="s">
        <v>12</v>
      </c>
      <c r="F136">
        <v>68</v>
      </c>
      <c r="G136">
        <v>476000</v>
      </c>
      <c r="H136">
        <v>7000</v>
      </c>
      <c r="I136" s="2">
        <v>46113</v>
      </c>
    </row>
    <row r="137" spans="1:9" x14ac:dyDescent="0.35">
      <c r="A137" t="s">
        <v>1177</v>
      </c>
      <c r="B137" s="2">
        <v>46135</v>
      </c>
      <c r="C137" t="s">
        <v>1052</v>
      </c>
      <c r="D137" t="s">
        <v>16</v>
      </c>
      <c r="E137" t="s">
        <v>17</v>
      </c>
      <c r="F137">
        <v>196</v>
      </c>
      <c r="G137">
        <v>352800</v>
      </c>
      <c r="H137">
        <v>1800</v>
      </c>
      <c r="I137" s="2">
        <v>46113</v>
      </c>
    </row>
    <row r="138" spans="1:9" x14ac:dyDescent="0.35">
      <c r="A138" t="s">
        <v>1178</v>
      </c>
      <c r="B138" s="2">
        <v>46138</v>
      </c>
      <c r="C138" t="s">
        <v>1045</v>
      </c>
      <c r="D138" t="s">
        <v>20</v>
      </c>
      <c r="E138" t="s">
        <v>32</v>
      </c>
      <c r="F138">
        <v>237</v>
      </c>
      <c r="G138">
        <v>118500</v>
      </c>
      <c r="H138">
        <v>500</v>
      </c>
      <c r="I138" s="2">
        <v>46113</v>
      </c>
    </row>
    <row r="139" spans="1:9" x14ac:dyDescent="0.35">
      <c r="A139" t="s">
        <v>1179</v>
      </c>
      <c r="B139" s="2">
        <v>46189</v>
      </c>
      <c r="C139" t="s">
        <v>1052</v>
      </c>
      <c r="D139" t="s">
        <v>16</v>
      </c>
      <c r="E139" t="s">
        <v>12</v>
      </c>
      <c r="F139">
        <v>208</v>
      </c>
      <c r="G139">
        <v>1456000</v>
      </c>
      <c r="H139">
        <v>7000</v>
      </c>
      <c r="I139" s="2">
        <v>46174</v>
      </c>
    </row>
    <row r="140" spans="1:9" x14ac:dyDescent="0.35">
      <c r="A140" t="s">
        <v>1180</v>
      </c>
      <c r="B140" s="2">
        <v>46119</v>
      </c>
      <c r="C140" t="s">
        <v>1041</v>
      </c>
      <c r="D140" t="s">
        <v>16</v>
      </c>
      <c r="E140" t="s">
        <v>55</v>
      </c>
      <c r="F140">
        <v>249</v>
      </c>
      <c r="G140">
        <v>2241000</v>
      </c>
      <c r="H140">
        <v>9000</v>
      </c>
      <c r="I140" s="2">
        <v>46113</v>
      </c>
    </row>
    <row r="141" spans="1:9" x14ac:dyDescent="0.35">
      <c r="A141" t="s">
        <v>1181</v>
      </c>
      <c r="B141" s="2">
        <v>46191</v>
      </c>
      <c r="C141" t="s">
        <v>1043</v>
      </c>
      <c r="D141" t="s">
        <v>11</v>
      </c>
      <c r="E141" t="s">
        <v>17</v>
      </c>
      <c r="F141">
        <v>274</v>
      </c>
      <c r="G141">
        <v>493200</v>
      </c>
      <c r="H141">
        <v>1800</v>
      </c>
      <c r="I141" s="2">
        <v>46174</v>
      </c>
    </row>
    <row r="142" spans="1:9" x14ac:dyDescent="0.35">
      <c r="A142" t="s">
        <v>1182</v>
      </c>
      <c r="B142" s="2">
        <v>46156</v>
      </c>
      <c r="C142" t="s">
        <v>1038</v>
      </c>
      <c r="D142" t="s">
        <v>35</v>
      </c>
      <c r="E142" t="s">
        <v>43</v>
      </c>
      <c r="F142">
        <v>255</v>
      </c>
      <c r="G142">
        <v>637500</v>
      </c>
      <c r="H142">
        <v>2500</v>
      </c>
      <c r="I142" s="2">
        <v>46143</v>
      </c>
    </row>
    <row r="143" spans="1:9" x14ac:dyDescent="0.35">
      <c r="A143" t="s">
        <v>1183</v>
      </c>
      <c r="B143" s="2">
        <v>46139</v>
      </c>
      <c r="C143" t="s">
        <v>1052</v>
      </c>
      <c r="D143" t="s">
        <v>20</v>
      </c>
      <c r="E143" t="s">
        <v>32</v>
      </c>
      <c r="F143">
        <v>45</v>
      </c>
      <c r="G143">
        <v>22500</v>
      </c>
      <c r="H143">
        <v>500</v>
      </c>
      <c r="I143" s="2">
        <v>46113</v>
      </c>
    </row>
    <row r="144" spans="1:9" x14ac:dyDescent="0.35">
      <c r="A144" t="s">
        <v>1184</v>
      </c>
      <c r="B144" s="2">
        <v>46138</v>
      </c>
      <c r="C144" t="s">
        <v>1038</v>
      </c>
      <c r="D144" t="s">
        <v>35</v>
      </c>
      <c r="E144" t="s">
        <v>12</v>
      </c>
      <c r="F144">
        <v>91</v>
      </c>
      <c r="G144">
        <v>637000</v>
      </c>
      <c r="H144">
        <v>7000</v>
      </c>
      <c r="I144" s="2">
        <v>46113</v>
      </c>
    </row>
    <row r="145" spans="1:9" x14ac:dyDescent="0.35">
      <c r="A145" t="s">
        <v>1185</v>
      </c>
      <c r="B145" s="2">
        <v>46191</v>
      </c>
      <c r="C145" t="s">
        <v>1043</v>
      </c>
      <c r="D145" t="s">
        <v>20</v>
      </c>
      <c r="E145" t="s">
        <v>22</v>
      </c>
      <c r="F145">
        <v>280</v>
      </c>
      <c r="G145">
        <v>252000</v>
      </c>
      <c r="H145">
        <v>900</v>
      </c>
      <c r="I145" s="2">
        <v>46174</v>
      </c>
    </row>
    <row r="146" spans="1:9" x14ac:dyDescent="0.35">
      <c r="A146" t="s">
        <v>1186</v>
      </c>
      <c r="B146" s="2">
        <v>46148</v>
      </c>
      <c r="C146" t="s">
        <v>1052</v>
      </c>
      <c r="D146" t="s">
        <v>16</v>
      </c>
      <c r="E146" t="s">
        <v>17</v>
      </c>
      <c r="F146">
        <v>273</v>
      </c>
      <c r="G146">
        <v>491400</v>
      </c>
      <c r="H146">
        <v>1800</v>
      </c>
      <c r="I146" s="2">
        <v>46143</v>
      </c>
    </row>
    <row r="147" spans="1:9" x14ac:dyDescent="0.35">
      <c r="A147" t="s">
        <v>1187</v>
      </c>
      <c r="B147" s="2">
        <v>46167</v>
      </c>
      <c r="C147" t="s">
        <v>1038</v>
      </c>
      <c r="D147" t="s">
        <v>11</v>
      </c>
      <c r="E147" t="s">
        <v>17</v>
      </c>
      <c r="F147">
        <v>290</v>
      </c>
      <c r="G147">
        <v>522000</v>
      </c>
      <c r="H147">
        <v>1800</v>
      </c>
      <c r="I147" s="2">
        <v>46143</v>
      </c>
    </row>
    <row r="148" spans="1:9" x14ac:dyDescent="0.35">
      <c r="A148" t="s">
        <v>1188</v>
      </c>
      <c r="B148" s="2">
        <v>46176</v>
      </c>
      <c r="C148" t="s">
        <v>1038</v>
      </c>
      <c r="D148" t="s">
        <v>11</v>
      </c>
      <c r="E148" t="s">
        <v>12</v>
      </c>
      <c r="F148">
        <v>142</v>
      </c>
      <c r="G148">
        <v>994000</v>
      </c>
      <c r="H148">
        <v>7000</v>
      </c>
      <c r="I148" s="2">
        <v>46174</v>
      </c>
    </row>
    <row r="149" spans="1:9" x14ac:dyDescent="0.35">
      <c r="A149" t="s">
        <v>1189</v>
      </c>
      <c r="B149" s="2">
        <v>46203</v>
      </c>
      <c r="C149" t="s">
        <v>1052</v>
      </c>
      <c r="D149" t="s">
        <v>35</v>
      </c>
      <c r="E149" t="s">
        <v>32</v>
      </c>
      <c r="F149">
        <v>163</v>
      </c>
      <c r="G149">
        <v>81500</v>
      </c>
      <c r="H149">
        <v>500</v>
      </c>
      <c r="I149" s="2">
        <v>46174</v>
      </c>
    </row>
    <row r="150" spans="1:9" x14ac:dyDescent="0.35">
      <c r="A150" t="s">
        <v>1190</v>
      </c>
      <c r="B150" s="2">
        <v>46169</v>
      </c>
      <c r="C150" t="s">
        <v>1043</v>
      </c>
      <c r="D150" t="s">
        <v>11</v>
      </c>
      <c r="E150" t="s">
        <v>46</v>
      </c>
      <c r="F150">
        <v>276</v>
      </c>
      <c r="G150">
        <v>3312000</v>
      </c>
      <c r="H150">
        <v>12000</v>
      </c>
      <c r="I150" s="2">
        <v>46143</v>
      </c>
    </row>
    <row r="151" spans="1:9" x14ac:dyDescent="0.35">
      <c r="A151" t="s">
        <v>1191</v>
      </c>
      <c r="B151" s="2">
        <v>46181</v>
      </c>
      <c r="C151" t="s">
        <v>1038</v>
      </c>
      <c r="D151" t="s">
        <v>35</v>
      </c>
      <c r="E151" t="s">
        <v>24</v>
      </c>
      <c r="F151">
        <v>163</v>
      </c>
      <c r="G151">
        <v>7335000</v>
      </c>
      <c r="H151">
        <v>45000</v>
      </c>
      <c r="I151" s="2">
        <v>46174</v>
      </c>
    </row>
    <row r="152" spans="1:9" x14ac:dyDescent="0.35">
      <c r="A152" t="s">
        <v>1192</v>
      </c>
      <c r="B152" s="2">
        <v>46173</v>
      </c>
      <c r="C152" t="s">
        <v>1041</v>
      </c>
      <c r="D152" t="s">
        <v>35</v>
      </c>
      <c r="E152" t="s">
        <v>22</v>
      </c>
      <c r="F152">
        <v>278</v>
      </c>
      <c r="G152">
        <v>250200</v>
      </c>
      <c r="H152">
        <v>900</v>
      </c>
      <c r="I152" s="2">
        <v>46143</v>
      </c>
    </row>
    <row r="153" spans="1:9" x14ac:dyDescent="0.35">
      <c r="A153" t="s">
        <v>1193</v>
      </c>
      <c r="B153" s="2">
        <v>46114</v>
      </c>
      <c r="C153" t="s">
        <v>1052</v>
      </c>
      <c r="D153" t="s">
        <v>20</v>
      </c>
      <c r="E153" t="s">
        <v>22</v>
      </c>
      <c r="F153">
        <v>66</v>
      </c>
      <c r="G153">
        <v>59400</v>
      </c>
      <c r="H153">
        <v>900</v>
      </c>
      <c r="I153" s="2">
        <v>46113</v>
      </c>
    </row>
    <row r="154" spans="1:9" x14ac:dyDescent="0.35">
      <c r="A154" t="s">
        <v>1194</v>
      </c>
      <c r="B154" s="2">
        <v>46167</v>
      </c>
      <c r="C154" t="s">
        <v>1045</v>
      </c>
      <c r="D154" t="s">
        <v>35</v>
      </c>
      <c r="E154" t="s">
        <v>46</v>
      </c>
      <c r="F154">
        <v>32</v>
      </c>
      <c r="G154">
        <v>384000</v>
      </c>
      <c r="H154">
        <v>12000</v>
      </c>
      <c r="I154" s="2">
        <v>46143</v>
      </c>
    </row>
    <row r="155" spans="1:9" x14ac:dyDescent="0.35">
      <c r="A155" t="s">
        <v>1195</v>
      </c>
      <c r="B155" s="2">
        <v>46192</v>
      </c>
      <c r="C155" t="s">
        <v>1045</v>
      </c>
      <c r="D155" t="s">
        <v>20</v>
      </c>
      <c r="E155" t="s">
        <v>32</v>
      </c>
      <c r="F155">
        <v>227</v>
      </c>
      <c r="G155">
        <v>113500</v>
      </c>
      <c r="H155">
        <v>500</v>
      </c>
      <c r="I155" s="2">
        <v>46174</v>
      </c>
    </row>
    <row r="156" spans="1:9" x14ac:dyDescent="0.35">
      <c r="A156" t="s">
        <v>1196</v>
      </c>
      <c r="B156" s="2">
        <v>46199</v>
      </c>
      <c r="C156" t="s">
        <v>1043</v>
      </c>
      <c r="D156" t="s">
        <v>11</v>
      </c>
      <c r="E156" t="s">
        <v>17</v>
      </c>
      <c r="F156">
        <v>254</v>
      </c>
      <c r="G156">
        <v>457200</v>
      </c>
      <c r="H156">
        <v>1800</v>
      </c>
      <c r="I156" s="2">
        <v>46174</v>
      </c>
    </row>
    <row r="157" spans="1:9" x14ac:dyDescent="0.35">
      <c r="A157" t="s">
        <v>1197</v>
      </c>
      <c r="B157" s="2">
        <v>46150</v>
      </c>
      <c r="C157" t="s">
        <v>1041</v>
      </c>
      <c r="D157" t="s">
        <v>35</v>
      </c>
      <c r="E157" t="s">
        <v>17</v>
      </c>
      <c r="F157">
        <v>168</v>
      </c>
      <c r="G157">
        <v>302400</v>
      </c>
      <c r="H157">
        <v>1800</v>
      </c>
      <c r="I157" s="2">
        <v>46143</v>
      </c>
    </row>
    <row r="158" spans="1:9" x14ac:dyDescent="0.35">
      <c r="A158" t="s">
        <v>1198</v>
      </c>
      <c r="B158" s="2">
        <v>46192</v>
      </c>
      <c r="C158" t="s">
        <v>1038</v>
      </c>
      <c r="D158" t="s">
        <v>35</v>
      </c>
      <c r="E158" t="s">
        <v>24</v>
      </c>
      <c r="F158">
        <v>174</v>
      </c>
      <c r="G158">
        <v>7830000</v>
      </c>
      <c r="H158">
        <v>45000</v>
      </c>
      <c r="I158" s="2">
        <v>46174</v>
      </c>
    </row>
    <row r="159" spans="1:9" x14ac:dyDescent="0.35">
      <c r="A159" t="s">
        <v>1199</v>
      </c>
      <c r="B159" s="2">
        <v>46190</v>
      </c>
      <c r="C159" t="s">
        <v>1045</v>
      </c>
      <c r="D159" t="s">
        <v>16</v>
      </c>
      <c r="E159" t="s">
        <v>22</v>
      </c>
      <c r="F159">
        <v>185</v>
      </c>
      <c r="G159">
        <v>166500</v>
      </c>
      <c r="H159">
        <v>900</v>
      </c>
      <c r="I159" s="2">
        <v>46174</v>
      </c>
    </row>
    <row r="160" spans="1:9" x14ac:dyDescent="0.35">
      <c r="A160" t="s">
        <v>1200</v>
      </c>
      <c r="B160" s="2">
        <v>46141</v>
      </c>
      <c r="C160" t="s">
        <v>1043</v>
      </c>
      <c r="D160" t="s">
        <v>35</v>
      </c>
      <c r="E160" t="s">
        <v>24</v>
      </c>
      <c r="F160">
        <v>109</v>
      </c>
      <c r="G160">
        <v>4905000</v>
      </c>
      <c r="H160">
        <v>45000</v>
      </c>
      <c r="I160" s="2">
        <v>46113</v>
      </c>
    </row>
    <row r="161" spans="1:9" x14ac:dyDescent="0.35">
      <c r="A161" t="s">
        <v>1201</v>
      </c>
      <c r="B161" s="2">
        <v>46138</v>
      </c>
      <c r="C161" t="s">
        <v>1041</v>
      </c>
      <c r="D161" t="s">
        <v>35</v>
      </c>
      <c r="E161" t="s">
        <v>22</v>
      </c>
      <c r="F161">
        <v>205</v>
      </c>
      <c r="G161">
        <v>184500</v>
      </c>
      <c r="H161">
        <v>900</v>
      </c>
      <c r="I161" s="2">
        <v>46113</v>
      </c>
    </row>
    <row r="162" spans="1:9" x14ac:dyDescent="0.35">
      <c r="A162" t="s">
        <v>1202</v>
      </c>
      <c r="B162" s="2">
        <v>46147</v>
      </c>
      <c r="C162" t="s">
        <v>1041</v>
      </c>
      <c r="D162" t="s">
        <v>16</v>
      </c>
      <c r="E162" t="s">
        <v>32</v>
      </c>
      <c r="F162">
        <v>193</v>
      </c>
      <c r="G162">
        <v>96500</v>
      </c>
      <c r="H162">
        <v>500</v>
      </c>
      <c r="I162" s="2">
        <v>46143</v>
      </c>
    </row>
    <row r="163" spans="1:9" x14ac:dyDescent="0.35">
      <c r="A163" t="s">
        <v>1203</v>
      </c>
      <c r="B163" s="2">
        <v>46191</v>
      </c>
      <c r="C163" t="s">
        <v>1043</v>
      </c>
      <c r="D163" t="s">
        <v>16</v>
      </c>
      <c r="E163" t="s">
        <v>43</v>
      </c>
      <c r="F163">
        <v>236</v>
      </c>
      <c r="G163">
        <v>590000</v>
      </c>
      <c r="H163">
        <v>2500</v>
      </c>
      <c r="I163" s="2">
        <v>46174</v>
      </c>
    </row>
    <row r="164" spans="1:9" x14ac:dyDescent="0.35">
      <c r="A164" t="s">
        <v>1204</v>
      </c>
      <c r="B164" s="2">
        <v>46179</v>
      </c>
      <c r="C164" t="s">
        <v>1043</v>
      </c>
      <c r="D164" t="s">
        <v>11</v>
      </c>
      <c r="E164" t="s">
        <v>22</v>
      </c>
      <c r="F164">
        <v>283</v>
      </c>
      <c r="G164">
        <v>254700</v>
      </c>
      <c r="H164">
        <v>900</v>
      </c>
      <c r="I164" s="2">
        <v>46174</v>
      </c>
    </row>
    <row r="165" spans="1:9" x14ac:dyDescent="0.35">
      <c r="A165" t="s">
        <v>1205</v>
      </c>
      <c r="B165" s="2">
        <v>46199</v>
      </c>
      <c r="C165" t="s">
        <v>1038</v>
      </c>
      <c r="D165" t="s">
        <v>35</v>
      </c>
      <c r="E165" t="s">
        <v>43</v>
      </c>
      <c r="F165">
        <v>116</v>
      </c>
      <c r="G165">
        <v>290000</v>
      </c>
      <c r="H165">
        <v>2500</v>
      </c>
      <c r="I165" s="2">
        <v>46174</v>
      </c>
    </row>
    <row r="166" spans="1:9" x14ac:dyDescent="0.35">
      <c r="A166" t="s">
        <v>1206</v>
      </c>
      <c r="B166" s="2">
        <v>46141</v>
      </c>
      <c r="C166" t="s">
        <v>1043</v>
      </c>
      <c r="D166" t="s">
        <v>11</v>
      </c>
      <c r="E166" t="s">
        <v>22</v>
      </c>
      <c r="F166">
        <v>136</v>
      </c>
      <c r="G166">
        <v>122400</v>
      </c>
      <c r="H166">
        <v>900</v>
      </c>
      <c r="I166" s="2">
        <v>46113</v>
      </c>
    </row>
    <row r="167" spans="1:9" x14ac:dyDescent="0.35">
      <c r="A167" t="s">
        <v>1207</v>
      </c>
      <c r="B167" s="2">
        <v>46146</v>
      </c>
      <c r="C167" t="s">
        <v>1038</v>
      </c>
      <c r="D167" t="s">
        <v>11</v>
      </c>
      <c r="E167" t="s">
        <v>17</v>
      </c>
      <c r="F167">
        <v>218</v>
      </c>
      <c r="G167">
        <v>392400</v>
      </c>
      <c r="H167">
        <v>1800</v>
      </c>
      <c r="I167" s="2">
        <v>46143</v>
      </c>
    </row>
    <row r="168" spans="1:9" x14ac:dyDescent="0.35">
      <c r="A168" t="s">
        <v>1208</v>
      </c>
      <c r="B168" s="2">
        <v>46153</v>
      </c>
      <c r="C168" t="s">
        <v>1038</v>
      </c>
      <c r="D168" t="s">
        <v>16</v>
      </c>
      <c r="E168" t="s">
        <v>55</v>
      </c>
      <c r="F168">
        <v>40</v>
      </c>
      <c r="G168">
        <v>360000</v>
      </c>
      <c r="H168">
        <v>9000</v>
      </c>
      <c r="I168" s="2">
        <v>46143</v>
      </c>
    </row>
    <row r="169" spans="1:9" x14ac:dyDescent="0.35">
      <c r="A169" t="s">
        <v>1209</v>
      </c>
      <c r="B169" s="2">
        <v>46153</v>
      </c>
      <c r="C169" t="s">
        <v>1052</v>
      </c>
      <c r="D169" t="s">
        <v>20</v>
      </c>
      <c r="E169" t="s">
        <v>32</v>
      </c>
      <c r="F169">
        <v>219</v>
      </c>
      <c r="G169">
        <v>109500</v>
      </c>
      <c r="H169">
        <v>500</v>
      </c>
      <c r="I169" s="2">
        <v>46143</v>
      </c>
    </row>
    <row r="170" spans="1:9" x14ac:dyDescent="0.35">
      <c r="A170" t="s">
        <v>1210</v>
      </c>
      <c r="B170" s="2">
        <v>46135</v>
      </c>
      <c r="C170" t="s">
        <v>1041</v>
      </c>
      <c r="D170" t="s">
        <v>11</v>
      </c>
      <c r="E170" t="s">
        <v>46</v>
      </c>
      <c r="F170">
        <v>267</v>
      </c>
      <c r="G170">
        <v>3204000</v>
      </c>
      <c r="H170">
        <v>12000</v>
      </c>
      <c r="I170" s="2">
        <v>46113</v>
      </c>
    </row>
    <row r="171" spans="1:9" x14ac:dyDescent="0.35">
      <c r="A171" t="s">
        <v>1211</v>
      </c>
      <c r="B171" s="2">
        <v>46183</v>
      </c>
      <c r="C171" t="s">
        <v>1041</v>
      </c>
      <c r="D171" t="s">
        <v>20</v>
      </c>
      <c r="E171" t="s">
        <v>43</v>
      </c>
      <c r="F171">
        <v>295</v>
      </c>
      <c r="G171">
        <v>737500</v>
      </c>
      <c r="H171">
        <v>2500</v>
      </c>
      <c r="I171" s="2">
        <v>46174</v>
      </c>
    </row>
    <row r="172" spans="1:9" x14ac:dyDescent="0.35">
      <c r="A172" t="s">
        <v>1212</v>
      </c>
      <c r="B172" s="2">
        <v>46115</v>
      </c>
      <c r="C172" t="s">
        <v>1041</v>
      </c>
      <c r="D172" t="s">
        <v>35</v>
      </c>
      <c r="E172" t="s">
        <v>46</v>
      </c>
      <c r="F172">
        <v>283</v>
      </c>
      <c r="G172">
        <v>3396000</v>
      </c>
      <c r="H172">
        <v>12000</v>
      </c>
      <c r="I172" s="2">
        <v>46113</v>
      </c>
    </row>
    <row r="173" spans="1:9" x14ac:dyDescent="0.35">
      <c r="A173" t="s">
        <v>1213</v>
      </c>
      <c r="B173" s="2">
        <v>46170</v>
      </c>
      <c r="C173" t="s">
        <v>1052</v>
      </c>
      <c r="D173" t="s">
        <v>16</v>
      </c>
      <c r="E173" t="s">
        <v>32</v>
      </c>
      <c r="F173">
        <v>77</v>
      </c>
      <c r="G173">
        <v>38500</v>
      </c>
      <c r="H173">
        <v>500</v>
      </c>
      <c r="I173" s="2">
        <v>46143</v>
      </c>
    </row>
    <row r="174" spans="1:9" x14ac:dyDescent="0.35">
      <c r="A174" t="s">
        <v>1214</v>
      </c>
      <c r="B174" s="2">
        <v>46144</v>
      </c>
      <c r="C174" t="s">
        <v>1038</v>
      </c>
      <c r="D174" t="s">
        <v>35</v>
      </c>
      <c r="E174" t="s">
        <v>12</v>
      </c>
      <c r="F174">
        <v>50</v>
      </c>
      <c r="G174">
        <v>350000</v>
      </c>
      <c r="H174">
        <v>7000</v>
      </c>
      <c r="I174" s="2">
        <v>46143</v>
      </c>
    </row>
    <row r="175" spans="1:9" x14ac:dyDescent="0.35">
      <c r="A175" t="s">
        <v>1215</v>
      </c>
      <c r="B175" s="2">
        <v>46143</v>
      </c>
      <c r="C175" t="s">
        <v>1038</v>
      </c>
      <c r="D175" t="s">
        <v>35</v>
      </c>
      <c r="E175" t="s">
        <v>46</v>
      </c>
      <c r="F175">
        <v>268</v>
      </c>
      <c r="G175">
        <v>3216000</v>
      </c>
      <c r="H175">
        <v>12000</v>
      </c>
      <c r="I175" s="2">
        <v>46143</v>
      </c>
    </row>
    <row r="176" spans="1:9" x14ac:dyDescent="0.35">
      <c r="A176" t="s">
        <v>1216</v>
      </c>
      <c r="B176" s="2">
        <v>46194</v>
      </c>
      <c r="C176" t="s">
        <v>1043</v>
      </c>
      <c r="D176" t="s">
        <v>16</v>
      </c>
      <c r="E176" t="s">
        <v>32</v>
      </c>
      <c r="F176">
        <v>112</v>
      </c>
      <c r="G176">
        <v>56000</v>
      </c>
      <c r="H176">
        <v>500</v>
      </c>
      <c r="I176" s="2">
        <v>46174</v>
      </c>
    </row>
    <row r="177" spans="1:9" x14ac:dyDescent="0.35">
      <c r="A177" t="s">
        <v>1217</v>
      </c>
      <c r="B177" s="2">
        <v>46155</v>
      </c>
      <c r="C177" t="s">
        <v>1052</v>
      </c>
      <c r="D177" t="s">
        <v>35</v>
      </c>
      <c r="E177" t="s">
        <v>17</v>
      </c>
      <c r="F177">
        <v>284</v>
      </c>
      <c r="G177">
        <v>511200</v>
      </c>
      <c r="H177">
        <v>1800</v>
      </c>
      <c r="I177" s="2">
        <v>46143</v>
      </c>
    </row>
    <row r="178" spans="1:9" x14ac:dyDescent="0.35">
      <c r="A178" t="s">
        <v>1218</v>
      </c>
      <c r="B178" s="2">
        <v>46119</v>
      </c>
      <c r="C178" t="s">
        <v>1043</v>
      </c>
      <c r="D178" t="s">
        <v>16</v>
      </c>
      <c r="E178" t="s">
        <v>46</v>
      </c>
      <c r="F178">
        <v>290</v>
      </c>
      <c r="G178">
        <v>3480000</v>
      </c>
      <c r="H178">
        <v>12000</v>
      </c>
      <c r="I178" s="2">
        <v>46113</v>
      </c>
    </row>
    <row r="179" spans="1:9" x14ac:dyDescent="0.35">
      <c r="A179" t="s">
        <v>1219</v>
      </c>
      <c r="B179" s="2">
        <v>46113</v>
      </c>
      <c r="C179" t="s">
        <v>1052</v>
      </c>
      <c r="D179" t="s">
        <v>20</v>
      </c>
      <c r="E179" t="s">
        <v>43</v>
      </c>
      <c r="F179">
        <v>113</v>
      </c>
      <c r="G179">
        <v>282500</v>
      </c>
      <c r="H179">
        <v>2500</v>
      </c>
      <c r="I179" s="2">
        <v>46113</v>
      </c>
    </row>
    <row r="180" spans="1:9" x14ac:dyDescent="0.35">
      <c r="A180" t="s">
        <v>1220</v>
      </c>
      <c r="B180" s="2">
        <v>46173</v>
      </c>
      <c r="C180" t="s">
        <v>1043</v>
      </c>
      <c r="D180" t="s">
        <v>35</v>
      </c>
      <c r="E180" t="s">
        <v>55</v>
      </c>
      <c r="F180">
        <v>173</v>
      </c>
      <c r="G180">
        <v>1557000</v>
      </c>
      <c r="H180">
        <v>9000</v>
      </c>
      <c r="I180" s="2">
        <v>46143</v>
      </c>
    </row>
    <row r="181" spans="1:9" x14ac:dyDescent="0.35">
      <c r="A181" t="s">
        <v>1221</v>
      </c>
      <c r="B181" s="2">
        <v>46126</v>
      </c>
      <c r="C181" t="s">
        <v>1045</v>
      </c>
      <c r="D181" t="s">
        <v>16</v>
      </c>
      <c r="E181" t="s">
        <v>46</v>
      </c>
      <c r="F181">
        <v>99</v>
      </c>
      <c r="G181">
        <v>1188000</v>
      </c>
      <c r="H181">
        <v>12000</v>
      </c>
      <c r="I181" s="2">
        <v>46113</v>
      </c>
    </row>
    <row r="182" spans="1:9" x14ac:dyDescent="0.35">
      <c r="A182" t="s">
        <v>1222</v>
      </c>
      <c r="B182" s="2">
        <v>46164</v>
      </c>
      <c r="C182" t="s">
        <v>1041</v>
      </c>
      <c r="D182" t="s">
        <v>11</v>
      </c>
      <c r="E182" t="s">
        <v>43</v>
      </c>
      <c r="F182">
        <v>103</v>
      </c>
      <c r="G182">
        <v>257500</v>
      </c>
      <c r="H182">
        <v>2500</v>
      </c>
      <c r="I182" s="2">
        <v>46143</v>
      </c>
    </row>
    <row r="183" spans="1:9" x14ac:dyDescent="0.35">
      <c r="A183" t="s">
        <v>1223</v>
      </c>
      <c r="B183" s="2">
        <v>46118</v>
      </c>
      <c r="C183" t="s">
        <v>1041</v>
      </c>
      <c r="D183" t="s">
        <v>35</v>
      </c>
      <c r="E183" t="s">
        <v>22</v>
      </c>
      <c r="F183">
        <v>56</v>
      </c>
      <c r="G183">
        <v>50400</v>
      </c>
      <c r="H183">
        <v>900</v>
      </c>
      <c r="I183" s="2">
        <v>46113</v>
      </c>
    </row>
    <row r="184" spans="1:9" x14ac:dyDescent="0.35">
      <c r="A184" t="s">
        <v>1224</v>
      </c>
      <c r="B184" s="2">
        <v>46122</v>
      </c>
      <c r="C184" t="s">
        <v>1038</v>
      </c>
      <c r="D184" t="s">
        <v>20</v>
      </c>
      <c r="E184" t="s">
        <v>32</v>
      </c>
      <c r="F184">
        <v>251</v>
      </c>
      <c r="G184">
        <v>125500</v>
      </c>
      <c r="H184">
        <v>500</v>
      </c>
      <c r="I184" s="2">
        <v>46113</v>
      </c>
    </row>
    <row r="185" spans="1:9" x14ac:dyDescent="0.35">
      <c r="A185" t="s">
        <v>1225</v>
      </c>
      <c r="B185" s="2">
        <v>46183</v>
      </c>
      <c r="C185" t="s">
        <v>1045</v>
      </c>
      <c r="D185" t="s">
        <v>16</v>
      </c>
      <c r="E185" t="s">
        <v>24</v>
      </c>
      <c r="F185">
        <v>112</v>
      </c>
      <c r="G185">
        <v>5040000</v>
      </c>
      <c r="H185">
        <v>45000</v>
      </c>
      <c r="I185" s="2">
        <v>46174</v>
      </c>
    </row>
    <row r="186" spans="1:9" x14ac:dyDescent="0.35">
      <c r="A186" t="s">
        <v>1226</v>
      </c>
      <c r="B186" s="2">
        <v>46202</v>
      </c>
      <c r="C186" t="s">
        <v>1041</v>
      </c>
      <c r="D186" t="s">
        <v>35</v>
      </c>
      <c r="E186" t="s">
        <v>12</v>
      </c>
      <c r="F186">
        <v>121</v>
      </c>
      <c r="G186">
        <v>847000</v>
      </c>
      <c r="H186">
        <v>7000</v>
      </c>
      <c r="I186" s="2">
        <v>46174</v>
      </c>
    </row>
    <row r="187" spans="1:9" x14ac:dyDescent="0.35">
      <c r="A187" t="s">
        <v>1227</v>
      </c>
      <c r="B187" s="2">
        <v>46142</v>
      </c>
      <c r="C187" t="s">
        <v>1038</v>
      </c>
      <c r="D187" t="s">
        <v>35</v>
      </c>
      <c r="E187" t="s">
        <v>17</v>
      </c>
      <c r="F187">
        <v>185</v>
      </c>
      <c r="G187">
        <v>333000</v>
      </c>
      <c r="H187">
        <v>1800</v>
      </c>
      <c r="I187" s="2">
        <v>46113</v>
      </c>
    </row>
    <row r="188" spans="1:9" x14ac:dyDescent="0.35">
      <c r="A188" t="s">
        <v>1228</v>
      </c>
      <c r="B188" s="2">
        <v>46133</v>
      </c>
      <c r="C188" t="s">
        <v>1045</v>
      </c>
      <c r="D188" t="s">
        <v>35</v>
      </c>
      <c r="E188" t="s">
        <v>24</v>
      </c>
      <c r="F188">
        <v>178</v>
      </c>
      <c r="G188">
        <v>8010000</v>
      </c>
      <c r="H188">
        <v>45000</v>
      </c>
      <c r="I188" s="2">
        <v>46113</v>
      </c>
    </row>
    <row r="189" spans="1:9" x14ac:dyDescent="0.35">
      <c r="A189" t="s">
        <v>1229</v>
      </c>
      <c r="B189" s="2">
        <v>46172</v>
      </c>
      <c r="C189" t="s">
        <v>1041</v>
      </c>
      <c r="D189" t="s">
        <v>20</v>
      </c>
      <c r="E189" t="s">
        <v>17</v>
      </c>
      <c r="F189">
        <v>33</v>
      </c>
      <c r="G189">
        <v>59400</v>
      </c>
      <c r="H189">
        <v>1800</v>
      </c>
      <c r="I189" s="2">
        <v>46143</v>
      </c>
    </row>
    <row r="190" spans="1:9" x14ac:dyDescent="0.35">
      <c r="A190" t="s">
        <v>1230</v>
      </c>
      <c r="B190" s="2">
        <v>46193</v>
      </c>
      <c r="C190" t="s">
        <v>1043</v>
      </c>
      <c r="D190" t="s">
        <v>16</v>
      </c>
      <c r="E190" t="s">
        <v>32</v>
      </c>
      <c r="F190">
        <v>244</v>
      </c>
      <c r="G190">
        <v>122000</v>
      </c>
      <c r="H190">
        <v>500</v>
      </c>
      <c r="I190" s="2">
        <v>46174</v>
      </c>
    </row>
    <row r="191" spans="1:9" x14ac:dyDescent="0.35">
      <c r="A191" t="s">
        <v>1231</v>
      </c>
      <c r="B191" s="2">
        <v>46186</v>
      </c>
      <c r="C191" t="s">
        <v>1052</v>
      </c>
      <c r="D191" t="s">
        <v>11</v>
      </c>
      <c r="E191" t="s">
        <v>17</v>
      </c>
      <c r="F191">
        <v>92</v>
      </c>
      <c r="G191">
        <v>165600</v>
      </c>
      <c r="H191">
        <v>1800</v>
      </c>
      <c r="I191" s="2">
        <v>46174</v>
      </c>
    </row>
    <row r="192" spans="1:9" x14ac:dyDescent="0.35">
      <c r="A192" t="s">
        <v>1232</v>
      </c>
      <c r="B192" s="2">
        <v>46175</v>
      </c>
      <c r="C192" t="s">
        <v>1045</v>
      </c>
      <c r="D192" t="s">
        <v>11</v>
      </c>
      <c r="E192" t="s">
        <v>55</v>
      </c>
      <c r="F192">
        <v>268</v>
      </c>
      <c r="G192">
        <v>2412000</v>
      </c>
      <c r="H192">
        <v>9000</v>
      </c>
      <c r="I192" s="2">
        <v>46174</v>
      </c>
    </row>
    <row r="193" spans="1:9" x14ac:dyDescent="0.35">
      <c r="A193" t="s">
        <v>1233</v>
      </c>
      <c r="B193" s="2">
        <v>46154</v>
      </c>
      <c r="C193" t="s">
        <v>1038</v>
      </c>
      <c r="D193" t="s">
        <v>11</v>
      </c>
      <c r="E193" t="s">
        <v>46</v>
      </c>
      <c r="F193">
        <v>110</v>
      </c>
      <c r="G193">
        <v>1320000</v>
      </c>
      <c r="H193">
        <v>12000</v>
      </c>
      <c r="I193" s="2">
        <v>46143</v>
      </c>
    </row>
    <row r="194" spans="1:9" x14ac:dyDescent="0.35">
      <c r="A194" t="s">
        <v>1234</v>
      </c>
      <c r="B194" s="2">
        <v>46163</v>
      </c>
      <c r="C194" t="s">
        <v>1045</v>
      </c>
      <c r="D194" t="s">
        <v>16</v>
      </c>
      <c r="E194" t="s">
        <v>55</v>
      </c>
      <c r="F194">
        <v>235</v>
      </c>
      <c r="G194">
        <v>2115000</v>
      </c>
      <c r="H194">
        <v>9000</v>
      </c>
      <c r="I194" s="2">
        <v>46143</v>
      </c>
    </row>
    <row r="195" spans="1:9" x14ac:dyDescent="0.35">
      <c r="A195" t="s">
        <v>1235</v>
      </c>
      <c r="B195" s="2">
        <v>46176</v>
      </c>
      <c r="C195" t="s">
        <v>1038</v>
      </c>
      <c r="D195" t="s">
        <v>11</v>
      </c>
      <c r="E195" t="s">
        <v>24</v>
      </c>
      <c r="F195">
        <v>109</v>
      </c>
      <c r="G195">
        <v>4905000</v>
      </c>
      <c r="H195">
        <v>45000</v>
      </c>
      <c r="I195" s="2">
        <v>46174</v>
      </c>
    </row>
    <row r="196" spans="1:9" x14ac:dyDescent="0.35">
      <c r="A196" t="s">
        <v>1236</v>
      </c>
      <c r="B196" s="2">
        <v>46188</v>
      </c>
      <c r="C196" t="s">
        <v>1045</v>
      </c>
      <c r="D196" t="s">
        <v>20</v>
      </c>
      <c r="E196" t="s">
        <v>12</v>
      </c>
      <c r="F196">
        <v>48</v>
      </c>
      <c r="G196">
        <v>336000</v>
      </c>
      <c r="H196">
        <v>7000</v>
      </c>
      <c r="I196" s="2">
        <v>46174</v>
      </c>
    </row>
    <row r="197" spans="1:9" x14ac:dyDescent="0.35">
      <c r="A197" t="s">
        <v>1237</v>
      </c>
      <c r="B197" s="2">
        <v>46168</v>
      </c>
      <c r="C197" t="s">
        <v>1038</v>
      </c>
      <c r="D197" t="s">
        <v>16</v>
      </c>
      <c r="E197" t="s">
        <v>43</v>
      </c>
      <c r="F197">
        <v>239</v>
      </c>
      <c r="G197">
        <v>597500</v>
      </c>
      <c r="H197">
        <v>2500</v>
      </c>
      <c r="I197" s="2">
        <v>46143</v>
      </c>
    </row>
    <row r="198" spans="1:9" x14ac:dyDescent="0.35">
      <c r="A198" t="s">
        <v>1238</v>
      </c>
      <c r="B198" s="2">
        <v>46192</v>
      </c>
      <c r="C198" t="s">
        <v>1041</v>
      </c>
      <c r="D198" t="s">
        <v>35</v>
      </c>
      <c r="E198" t="s">
        <v>12</v>
      </c>
      <c r="F198">
        <v>234</v>
      </c>
      <c r="G198">
        <v>1638000</v>
      </c>
      <c r="H198">
        <v>7000</v>
      </c>
      <c r="I198" s="2">
        <v>46174</v>
      </c>
    </row>
    <row r="199" spans="1:9" x14ac:dyDescent="0.35">
      <c r="A199" t="s">
        <v>1239</v>
      </c>
      <c r="B199" s="2">
        <v>46153</v>
      </c>
      <c r="C199" t="s">
        <v>1043</v>
      </c>
      <c r="D199" t="s">
        <v>20</v>
      </c>
      <c r="E199" t="s">
        <v>32</v>
      </c>
      <c r="F199">
        <v>240</v>
      </c>
      <c r="G199">
        <v>120000</v>
      </c>
      <c r="H199">
        <v>500</v>
      </c>
      <c r="I199" s="2">
        <v>46143</v>
      </c>
    </row>
    <row r="200" spans="1:9" x14ac:dyDescent="0.35">
      <c r="A200" t="s">
        <v>1240</v>
      </c>
      <c r="B200" s="2">
        <v>46144</v>
      </c>
      <c r="C200" t="s">
        <v>1041</v>
      </c>
      <c r="D200" t="s">
        <v>35</v>
      </c>
      <c r="E200" t="s">
        <v>32</v>
      </c>
      <c r="F200">
        <v>61</v>
      </c>
      <c r="G200">
        <v>30500</v>
      </c>
      <c r="H200">
        <v>500</v>
      </c>
      <c r="I200" s="2">
        <v>46143</v>
      </c>
    </row>
    <row r="201" spans="1:9" x14ac:dyDescent="0.35">
      <c r="A201" t="s">
        <v>1241</v>
      </c>
      <c r="B201" s="2">
        <v>46127</v>
      </c>
      <c r="C201" t="s">
        <v>1043</v>
      </c>
      <c r="D201" t="s">
        <v>11</v>
      </c>
      <c r="E201" t="s">
        <v>55</v>
      </c>
      <c r="F201">
        <v>154</v>
      </c>
      <c r="G201">
        <v>1386000</v>
      </c>
      <c r="H201">
        <v>9000</v>
      </c>
      <c r="I201" s="2">
        <v>46113</v>
      </c>
    </row>
    <row r="202" spans="1:9" x14ac:dyDescent="0.35">
      <c r="A202" t="s">
        <v>1242</v>
      </c>
      <c r="B202" s="2">
        <v>46174</v>
      </c>
      <c r="C202" t="s">
        <v>1041</v>
      </c>
      <c r="D202" t="s">
        <v>20</v>
      </c>
      <c r="E202" t="s">
        <v>43</v>
      </c>
      <c r="F202">
        <v>61</v>
      </c>
      <c r="G202">
        <v>152500</v>
      </c>
      <c r="H202">
        <v>2500</v>
      </c>
      <c r="I202" s="2">
        <v>46174</v>
      </c>
    </row>
    <row r="203" spans="1:9" x14ac:dyDescent="0.35">
      <c r="A203" t="s">
        <v>1243</v>
      </c>
      <c r="B203" s="2">
        <v>46139</v>
      </c>
      <c r="C203" t="s">
        <v>1041</v>
      </c>
      <c r="D203" t="s">
        <v>16</v>
      </c>
      <c r="E203" t="s">
        <v>55</v>
      </c>
      <c r="F203">
        <v>183</v>
      </c>
      <c r="G203">
        <v>1647000</v>
      </c>
      <c r="H203">
        <v>9000</v>
      </c>
      <c r="I203" s="2">
        <v>46113</v>
      </c>
    </row>
    <row r="204" spans="1:9" x14ac:dyDescent="0.35">
      <c r="A204" t="s">
        <v>1244</v>
      </c>
      <c r="B204" s="2">
        <v>46140</v>
      </c>
      <c r="C204" t="s">
        <v>1045</v>
      </c>
      <c r="D204" t="s">
        <v>20</v>
      </c>
      <c r="E204" t="s">
        <v>46</v>
      </c>
      <c r="F204">
        <v>77</v>
      </c>
      <c r="G204">
        <v>924000</v>
      </c>
      <c r="H204">
        <v>12000</v>
      </c>
      <c r="I204" s="2">
        <v>46113</v>
      </c>
    </row>
    <row r="205" spans="1:9" x14ac:dyDescent="0.35">
      <c r="A205" t="s">
        <v>1245</v>
      </c>
      <c r="B205" s="2">
        <v>46193</v>
      </c>
      <c r="C205" t="s">
        <v>1052</v>
      </c>
      <c r="D205" t="s">
        <v>35</v>
      </c>
      <c r="E205" t="s">
        <v>22</v>
      </c>
      <c r="F205">
        <v>44</v>
      </c>
      <c r="G205">
        <v>39600</v>
      </c>
      <c r="H205">
        <v>900</v>
      </c>
      <c r="I205" s="2">
        <v>46174</v>
      </c>
    </row>
    <row r="206" spans="1:9" x14ac:dyDescent="0.35">
      <c r="A206" t="s">
        <v>1246</v>
      </c>
      <c r="B206" s="2">
        <v>46176</v>
      </c>
      <c r="C206" t="s">
        <v>1038</v>
      </c>
      <c r="D206" t="s">
        <v>16</v>
      </c>
      <c r="E206" t="s">
        <v>43</v>
      </c>
      <c r="F206">
        <v>92</v>
      </c>
      <c r="G206">
        <v>230000</v>
      </c>
      <c r="H206">
        <v>2500</v>
      </c>
      <c r="I206" s="2">
        <v>46174</v>
      </c>
    </row>
    <row r="207" spans="1:9" x14ac:dyDescent="0.35">
      <c r="A207" t="s">
        <v>1247</v>
      </c>
      <c r="B207" s="2">
        <v>46171</v>
      </c>
      <c r="C207" t="s">
        <v>1038</v>
      </c>
      <c r="D207" t="s">
        <v>20</v>
      </c>
      <c r="E207" t="s">
        <v>22</v>
      </c>
      <c r="F207">
        <v>148</v>
      </c>
      <c r="G207">
        <v>133200</v>
      </c>
      <c r="H207">
        <v>900</v>
      </c>
      <c r="I207" s="2">
        <v>46143</v>
      </c>
    </row>
    <row r="208" spans="1:9" x14ac:dyDescent="0.35">
      <c r="A208" t="s">
        <v>1248</v>
      </c>
      <c r="B208" s="2">
        <v>46170</v>
      </c>
      <c r="C208" t="s">
        <v>1038</v>
      </c>
      <c r="D208" t="s">
        <v>20</v>
      </c>
      <c r="E208" t="s">
        <v>12</v>
      </c>
      <c r="F208">
        <v>106</v>
      </c>
      <c r="G208">
        <v>742000</v>
      </c>
      <c r="H208">
        <v>7000</v>
      </c>
      <c r="I208" s="2">
        <v>46143</v>
      </c>
    </row>
    <row r="209" spans="1:9" x14ac:dyDescent="0.35">
      <c r="A209" t="s">
        <v>1249</v>
      </c>
      <c r="B209" s="2">
        <v>46114</v>
      </c>
      <c r="C209" t="s">
        <v>1043</v>
      </c>
      <c r="D209" t="s">
        <v>20</v>
      </c>
      <c r="E209" t="s">
        <v>46</v>
      </c>
      <c r="F209">
        <v>172</v>
      </c>
      <c r="G209">
        <v>2064000</v>
      </c>
      <c r="H209">
        <v>12000</v>
      </c>
      <c r="I209" s="2">
        <v>46113</v>
      </c>
    </row>
    <row r="210" spans="1:9" x14ac:dyDescent="0.35">
      <c r="A210" t="s">
        <v>1250</v>
      </c>
      <c r="B210" s="2">
        <v>46148</v>
      </c>
      <c r="C210" t="s">
        <v>1038</v>
      </c>
      <c r="D210" t="s">
        <v>20</v>
      </c>
      <c r="E210" t="s">
        <v>17</v>
      </c>
      <c r="F210">
        <v>201</v>
      </c>
      <c r="G210">
        <v>361800</v>
      </c>
      <c r="H210">
        <v>1800</v>
      </c>
      <c r="I210" s="2">
        <v>46143</v>
      </c>
    </row>
    <row r="211" spans="1:9" x14ac:dyDescent="0.35">
      <c r="A211" t="s">
        <v>1251</v>
      </c>
      <c r="B211" s="2">
        <v>46183</v>
      </c>
      <c r="C211" t="s">
        <v>1038</v>
      </c>
      <c r="D211" t="s">
        <v>16</v>
      </c>
      <c r="E211" t="s">
        <v>17</v>
      </c>
      <c r="F211">
        <v>144</v>
      </c>
      <c r="G211">
        <v>259200</v>
      </c>
      <c r="H211">
        <v>1800</v>
      </c>
      <c r="I211" s="2">
        <v>46174</v>
      </c>
    </row>
    <row r="212" spans="1:9" x14ac:dyDescent="0.35">
      <c r="A212" t="s">
        <v>1252</v>
      </c>
      <c r="B212" s="2">
        <v>46125</v>
      </c>
      <c r="C212" t="s">
        <v>1045</v>
      </c>
      <c r="D212" t="s">
        <v>35</v>
      </c>
      <c r="E212" t="s">
        <v>22</v>
      </c>
      <c r="F212">
        <v>86</v>
      </c>
      <c r="G212">
        <v>77400</v>
      </c>
      <c r="H212">
        <v>900</v>
      </c>
      <c r="I212" s="2">
        <v>46113</v>
      </c>
    </row>
    <row r="213" spans="1:9" x14ac:dyDescent="0.35">
      <c r="A213" t="s">
        <v>1253</v>
      </c>
      <c r="B213" s="2">
        <v>46127</v>
      </c>
      <c r="C213" t="s">
        <v>1041</v>
      </c>
      <c r="D213" t="s">
        <v>20</v>
      </c>
      <c r="E213" t="s">
        <v>24</v>
      </c>
      <c r="F213">
        <v>25</v>
      </c>
      <c r="G213">
        <v>1125000</v>
      </c>
      <c r="H213">
        <v>45000</v>
      </c>
      <c r="I213" s="2">
        <v>46113</v>
      </c>
    </row>
    <row r="214" spans="1:9" x14ac:dyDescent="0.35">
      <c r="A214" t="s">
        <v>1254</v>
      </c>
      <c r="B214" s="2">
        <v>46201</v>
      </c>
      <c r="C214" t="s">
        <v>1038</v>
      </c>
      <c r="D214" t="s">
        <v>16</v>
      </c>
      <c r="E214" t="s">
        <v>12</v>
      </c>
      <c r="F214">
        <v>144</v>
      </c>
      <c r="G214">
        <v>1008000</v>
      </c>
      <c r="H214">
        <v>7000</v>
      </c>
      <c r="I214" s="2">
        <v>46174</v>
      </c>
    </row>
    <row r="215" spans="1:9" x14ac:dyDescent="0.35">
      <c r="A215" t="s">
        <v>1255</v>
      </c>
      <c r="B215" s="2">
        <v>46199</v>
      </c>
      <c r="C215" t="s">
        <v>1052</v>
      </c>
      <c r="D215" t="s">
        <v>35</v>
      </c>
      <c r="E215" t="s">
        <v>22</v>
      </c>
      <c r="F215">
        <v>72</v>
      </c>
      <c r="G215">
        <v>64800</v>
      </c>
      <c r="H215">
        <v>900</v>
      </c>
      <c r="I215" s="2">
        <v>46174</v>
      </c>
    </row>
    <row r="216" spans="1:9" x14ac:dyDescent="0.35">
      <c r="A216" t="s">
        <v>1256</v>
      </c>
      <c r="B216" s="2">
        <v>46172</v>
      </c>
      <c r="C216" t="s">
        <v>1038</v>
      </c>
      <c r="D216" t="s">
        <v>20</v>
      </c>
      <c r="E216" t="s">
        <v>46</v>
      </c>
      <c r="F216">
        <v>85</v>
      </c>
      <c r="G216">
        <v>1020000</v>
      </c>
      <c r="H216">
        <v>12000</v>
      </c>
      <c r="I216" s="2">
        <v>46143</v>
      </c>
    </row>
    <row r="217" spans="1:9" x14ac:dyDescent="0.35">
      <c r="A217" t="s">
        <v>1257</v>
      </c>
      <c r="B217" s="2">
        <v>46134</v>
      </c>
      <c r="C217" t="s">
        <v>1043</v>
      </c>
      <c r="D217" t="s">
        <v>35</v>
      </c>
      <c r="E217" t="s">
        <v>22</v>
      </c>
      <c r="F217">
        <v>101</v>
      </c>
      <c r="G217">
        <v>90900</v>
      </c>
      <c r="H217">
        <v>900</v>
      </c>
      <c r="I217" s="2">
        <v>46113</v>
      </c>
    </row>
    <row r="218" spans="1:9" x14ac:dyDescent="0.35">
      <c r="A218" t="s">
        <v>1258</v>
      </c>
      <c r="B218" s="2">
        <v>46175</v>
      </c>
      <c r="C218" t="s">
        <v>1043</v>
      </c>
      <c r="D218" t="s">
        <v>35</v>
      </c>
      <c r="E218" t="s">
        <v>32</v>
      </c>
      <c r="F218">
        <v>106</v>
      </c>
      <c r="G218">
        <v>53000</v>
      </c>
      <c r="H218">
        <v>500</v>
      </c>
      <c r="I218" s="2">
        <v>46174</v>
      </c>
    </row>
    <row r="219" spans="1:9" x14ac:dyDescent="0.35">
      <c r="A219" t="s">
        <v>1259</v>
      </c>
      <c r="B219" s="2">
        <v>46202</v>
      </c>
      <c r="C219" t="s">
        <v>1043</v>
      </c>
      <c r="D219" t="s">
        <v>16</v>
      </c>
      <c r="E219" t="s">
        <v>55</v>
      </c>
      <c r="F219">
        <v>21</v>
      </c>
      <c r="G219">
        <v>189000</v>
      </c>
      <c r="H219">
        <v>9000</v>
      </c>
      <c r="I219" s="2">
        <v>46174</v>
      </c>
    </row>
    <row r="220" spans="1:9" x14ac:dyDescent="0.35">
      <c r="A220" t="s">
        <v>1260</v>
      </c>
      <c r="B220" s="2">
        <v>46187</v>
      </c>
      <c r="C220" t="s">
        <v>1038</v>
      </c>
      <c r="D220" t="s">
        <v>35</v>
      </c>
      <c r="E220" t="s">
        <v>24</v>
      </c>
      <c r="F220">
        <v>223</v>
      </c>
      <c r="G220">
        <v>10035000</v>
      </c>
      <c r="H220">
        <v>45000</v>
      </c>
      <c r="I220" s="2">
        <v>46174</v>
      </c>
    </row>
    <row r="221" spans="1:9" x14ac:dyDescent="0.35">
      <c r="A221" t="s">
        <v>1261</v>
      </c>
      <c r="B221" s="2">
        <v>46186</v>
      </c>
      <c r="C221" t="s">
        <v>1045</v>
      </c>
      <c r="D221" t="s">
        <v>16</v>
      </c>
      <c r="E221" t="s">
        <v>32</v>
      </c>
      <c r="F221">
        <v>169</v>
      </c>
      <c r="G221">
        <v>84500</v>
      </c>
      <c r="H221">
        <v>500</v>
      </c>
      <c r="I221" s="2">
        <v>46174</v>
      </c>
    </row>
    <row r="222" spans="1:9" x14ac:dyDescent="0.35">
      <c r="A222" t="s">
        <v>1262</v>
      </c>
      <c r="B222" s="2">
        <v>46137</v>
      </c>
      <c r="C222" t="s">
        <v>1052</v>
      </c>
      <c r="D222" t="s">
        <v>20</v>
      </c>
      <c r="E222" t="s">
        <v>32</v>
      </c>
      <c r="F222">
        <v>122</v>
      </c>
      <c r="G222">
        <v>61000</v>
      </c>
      <c r="H222">
        <v>500</v>
      </c>
      <c r="I222" s="2">
        <v>46113</v>
      </c>
    </row>
    <row r="223" spans="1:9" x14ac:dyDescent="0.35">
      <c r="A223" t="s">
        <v>1263</v>
      </c>
      <c r="B223" s="2">
        <v>46160</v>
      </c>
      <c r="C223" t="s">
        <v>1038</v>
      </c>
      <c r="D223" t="s">
        <v>35</v>
      </c>
      <c r="E223" t="s">
        <v>46</v>
      </c>
      <c r="F223">
        <v>43</v>
      </c>
      <c r="G223">
        <v>516000</v>
      </c>
      <c r="H223">
        <v>12000</v>
      </c>
      <c r="I223" s="2">
        <v>46143</v>
      </c>
    </row>
    <row r="224" spans="1:9" x14ac:dyDescent="0.35">
      <c r="A224" t="s">
        <v>1264</v>
      </c>
      <c r="B224" s="2">
        <v>46155</v>
      </c>
      <c r="C224" t="s">
        <v>1045</v>
      </c>
      <c r="D224" t="s">
        <v>35</v>
      </c>
      <c r="E224" t="s">
        <v>55</v>
      </c>
      <c r="F224">
        <v>231</v>
      </c>
      <c r="G224">
        <v>2079000</v>
      </c>
      <c r="H224">
        <v>9000</v>
      </c>
      <c r="I224" s="2">
        <v>46143</v>
      </c>
    </row>
    <row r="225" spans="1:9" x14ac:dyDescent="0.35">
      <c r="A225" t="s">
        <v>1265</v>
      </c>
      <c r="B225" s="2">
        <v>46150</v>
      </c>
      <c r="C225" t="s">
        <v>1045</v>
      </c>
      <c r="D225" t="s">
        <v>11</v>
      </c>
      <c r="E225" t="s">
        <v>55</v>
      </c>
      <c r="F225">
        <v>84</v>
      </c>
      <c r="G225">
        <v>756000</v>
      </c>
      <c r="H225">
        <v>9000</v>
      </c>
      <c r="I225" s="2">
        <v>46143</v>
      </c>
    </row>
    <row r="226" spans="1:9" x14ac:dyDescent="0.35">
      <c r="A226" t="s">
        <v>1266</v>
      </c>
      <c r="B226" s="2">
        <v>46153</v>
      </c>
      <c r="C226" t="s">
        <v>1038</v>
      </c>
      <c r="D226" t="s">
        <v>20</v>
      </c>
      <c r="E226" t="s">
        <v>43</v>
      </c>
      <c r="F226">
        <v>228</v>
      </c>
      <c r="G226">
        <v>570000</v>
      </c>
      <c r="H226">
        <v>2500</v>
      </c>
      <c r="I226" s="2">
        <v>46143</v>
      </c>
    </row>
    <row r="227" spans="1:9" x14ac:dyDescent="0.35">
      <c r="A227" t="s">
        <v>1267</v>
      </c>
      <c r="B227" s="2">
        <v>46157</v>
      </c>
      <c r="C227" t="s">
        <v>1038</v>
      </c>
      <c r="D227" t="s">
        <v>20</v>
      </c>
      <c r="E227" t="s">
        <v>12</v>
      </c>
      <c r="F227">
        <v>270</v>
      </c>
      <c r="G227">
        <v>1890000</v>
      </c>
      <c r="H227">
        <v>7000</v>
      </c>
      <c r="I227" s="2">
        <v>46143</v>
      </c>
    </row>
    <row r="228" spans="1:9" x14ac:dyDescent="0.35">
      <c r="A228" t="s">
        <v>1268</v>
      </c>
      <c r="B228" s="2">
        <v>46200</v>
      </c>
      <c r="C228" t="s">
        <v>1045</v>
      </c>
      <c r="D228" t="s">
        <v>11</v>
      </c>
      <c r="E228" t="s">
        <v>24</v>
      </c>
      <c r="F228">
        <v>136</v>
      </c>
      <c r="G228">
        <v>6120000</v>
      </c>
      <c r="H228">
        <v>45000</v>
      </c>
      <c r="I228" s="2">
        <v>46174</v>
      </c>
    </row>
    <row r="229" spans="1:9" x14ac:dyDescent="0.35">
      <c r="A229" t="s">
        <v>1269</v>
      </c>
      <c r="B229" s="2">
        <v>46152</v>
      </c>
      <c r="C229" t="s">
        <v>1045</v>
      </c>
      <c r="D229" t="s">
        <v>11</v>
      </c>
      <c r="E229" t="s">
        <v>12</v>
      </c>
      <c r="F229">
        <v>135</v>
      </c>
      <c r="G229">
        <v>945000</v>
      </c>
      <c r="H229">
        <v>7000</v>
      </c>
      <c r="I229" s="2">
        <v>46143</v>
      </c>
    </row>
    <row r="230" spans="1:9" x14ac:dyDescent="0.35">
      <c r="A230" t="s">
        <v>1270</v>
      </c>
      <c r="B230" s="2">
        <v>46129</v>
      </c>
      <c r="C230" t="s">
        <v>1045</v>
      </c>
      <c r="D230" t="s">
        <v>16</v>
      </c>
      <c r="E230" t="s">
        <v>46</v>
      </c>
      <c r="F230">
        <v>256</v>
      </c>
      <c r="G230">
        <v>3072000</v>
      </c>
      <c r="H230">
        <v>12000</v>
      </c>
      <c r="I230" s="2">
        <v>46113</v>
      </c>
    </row>
    <row r="231" spans="1:9" x14ac:dyDescent="0.35">
      <c r="A231" t="s">
        <v>1271</v>
      </c>
      <c r="B231" s="2">
        <v>46200</v>
      </c>
      <c r="C231" t="s">
        <v>1038</v>
      </c>
      <c r="D231" t="s">
        <v>16</v>
      </c>
      <c r="E231" t="s">
        <v>24</v>
      </c>
      <c r="F231">
        <v>124</v>
      </c>
      <c r="G231">
        <v>5580000</v>
      </c>
      <c r="H231">
        <v>45000</v>
      </c>
      <c r="I231" s="2">
        <v>46174</v>
      </c>
    </row>
    <row r="232" spans="1:9" x14ac:dyDescent="0.35">
      <c r="A232" t="s">
        <v>1272</v>
      </c>
      <c r="B232" s="2">
        <v>46169</v>
      </c>
      <c r="C232" t="s">
        <v>1045</v>
      </c>
      <c r="D232" t="s">
        <v>35</v>
      </c>
      <c r="E232" t="s">
        <v>43</v>
      </c>
      <c r="F232">
        <v>278</v>
      </c>
      <c r="G232">
        <v>695000</v>
      </c>
      <c r="H232">
        <v>2500</v>
      </c>
      <c r="I232" s="2">
        <v>46143</v>
      </c>
    </row>
    <row r="233" spans="1:9" x14ac:dyDescent="0.35">
      <c r="A233" t="s">
        <v>1273</v>
      </c>
      <c r="B233" s="2">
        <v>46114</v>
      </c>
      <c r="C233" t="s">
        <v>1043</v>
      </c>
      <c r="D233" t="s">
        <v>35</v>
      </c>
      <c r="E233" t="s">
        <v>22</v>
      </c>
      <c r="F233">
        <v>65</v>
      </c>
      <c r="G233">
        <v>58500</v>
      </c>
      <c r="H233">
        <v>900</v>
      </c>
      <c r="I233" s="2">
        <v>46113</v>
      </c>
    </row>
    <row r="234" spans="1:9" x14ac:dyDescent="0.35">
      <c r="A234" t="s">
        <v>1274</v>
      </c>
      <c r="B234" s="2">
        <v>46174</v>
      </c>
      <c r="C234" t="s">
        <v>1038</v>
      </c>
      <c r="D234" t="s">
        <v>35</v>
      </c>
      <c r="E234" t="s">
        <v>32</v>
      </c>
      <c r="F234">
        <v>235</v>
      </c>
      <c r="G234">
        <v>117500</v>
      </c>
      <c r="H234">
        <v>500</v>
      </c>
      <c r="I234" s="2">
        <v>46174</v>
      </c>
    </row>
    <row r="235" spans="1:9" x14ac:dyDescent="0.35">
      <c r="A235" t="s">
        <v>1275</v>
      </c>
      <c r="B235" s="2">
        <v>46200</v>
      </c>
      <c r="C235" t="s">
        <v>1043</v>
      </c>
      <c r="D235" t="s">
        <v>35</v>
      </c>
      <c r="E235" t="s">
        <v>24</v>
      </c>
      <c r="F235">
        <v>43</v>
      </c>
      <c r="G235">
        <v>1935000</v>
      </c>
      <c r="H235">
        <v>45000</v>
      </c>
      <c r="I235" s="2">
        <v>46174</v>
      </c>
    </row>
    <row r="236" spans="1:9" x14ac:dyDescent="0.35">
      <c r="A236" t="s">
        <v>1276</v>
      </c>
      <c r="B236" s="2">
        <v>46121</v>
      </c>
      <c r="C236" t="s">
        <v>1041</v>
      </c>
      <c r="D236" t="s">
        <v>16</v>
      </c>
      <c r="E236" t="s">
        <v>12</v>
      </c>
      <c r="F236">
        <v>54</v>
      </c>
      <c r="G236">
        <v>378000</v>
      </c>
      <c r="H236">
        <v>7000</v>
      </c>
      <c r="I236" s="2">
        <v>46113</v>
      </c>
    </row>
    <row r="237" spans="1:9" x14ac:dyDescent="0.35">
      <c r="A237" t="s">
        <v>1277</v>
      </c>
      <c r="B237" s="2">
        <v>46180</v>
      </c>
      <c r="C237" t="s">
        <v>1038</v>
      </c>
      <c r="D237" t="s">
        <v>20</v>
      </c>
      <c r="E237" t="s">
        <v>32</v>
      </c>
      <c r="F237">
        <v>43</v>
      </c>
      <c r="G237">
        <v>21500</v>
      </c>
      <c r="H237">
        <v>500</v>
      </c>
      <c r="I237" s="2">
        <v>46174</v>
      </c>
    </row>
    <row r="238" spans="1:9" x14ac:dyDescent="0.35">
      <c r="A238" t="s">
        <v>1278</v>
      </c>
      <c r="B238" s="2">
        <v>46193</v>
      </c>
      <c r="C238" t="s">
        <v>1041</v>
      </c>
      <c r="D238" t="s">
        <v>35</v>
      </c>
      <c r="E238" t="s">
        <v>46</v>
      </c>
      <c r="F238">
        <v>47</v>
      </c>
      <c r="G238">
        <v>564000</v>
      </c>
      <c r="H238">
        <v>12000</v>
      </c>
      <c r="I238" s="2">
        <v>46174</v>
      </c>
    </row>
    <row r="239" spans="1:9" x14ac:dyDescent="0.35">
      <c r="A239" t="s">
        <v>1279</v>
      </c>
      <c r="B239" s="2">
        <v>46129</v>
      </c>
      <c r="C239" t="s">
        <v>1045</v>
      </c>
      <c r="D239" t="s">
        <v>20</v>
      </c>
      <c r="E239" t="s">
        <v>12</v>
      </c>
      <c r="F239">
        <v>35</v>
      </c>
      <c r="G239">
        <v>245000</v>
      </c>
      <c r="H239">
        <v>7000</v>
      </c>
      <c r="I239" s="2">
        <v>46113</v>
      </c>
    </row>
    <row r="240" spans="1:9" x14ac:dyDescent="0.35">
      <c r="A240" t="s">
        <v>1280</v>
      </c>
      <c r="B240" s="2">
        <v>46162</v>
      </c>
      <c r="C240" t="s">
        <v>1045</v>
      </c>
      <c r="D240" t="s">
        <v>35</v>
      </c>
      <c r="E240" t="s">
        <v>22</v>
      </c>
      <c r="F240">
        <v>78</v>
      </c>
      <c r="G240">
        <v>70200</v>
      </c>
      <c r="H240">
        <v>900</v>
      </c>
      <c r="I240" s="2">
        <v>46143</v>
      </c>
    </row>
    <row r="241" spans="1:9" x14ac:dyDescent="0.35">
      <c r="A241" t="s">
        <v>1281</v>
      </c>
      <c r="B241" s="2">
        <v>46152</v>
      </c>
      <c r="C241" t="s">
        <v>1052</v>
      </c>
      <c r="D241" t="s">
        <v>11</v>
      </c>
      <c r="E241" t="s">
        <v>46</v>
      </c>
      <c r="F241">
        <v>262</v>
      </c>
      <c r="G241">
        <v>3144000</v>
      </c>
      <c r="H241">
        <v>12000</v>
      </c>
      <c r="I241" s="2">
        <v>46143</v>
      </c>
    </row>
    <row r="242" spans="1:9" x14ac:dyDescent="0.35">
      <c r="A242" t="s">
        <v>1282</v>
      </c>
      <c r="B242" s="2">
        <v>46170</v>
      </c>
      <c r="C242" t="s">
        <v>1045</v>
      </c>
      <c r="D242" t="s">
        <v>35</v>
      </c>
      <c r="E242" t="s">
        <v>17</v>
      </c>
      <c r="F242">
        <v>226</v>
      </c>
      <c r="G242">
        <v>406800</v>
      </c>
      <c r="H242">
        <v>1800</v>
      </c>
      <c r="I242" s="2">
        <v>46143</v>
      </c>
    </row>
    <row r="243" spans="1:9" x14ac:dyDescent="0.35">
      <c r="A243" t="s">
        <v>1283</v>
      </c>
      <c r="B243" s="2">
        <v>46187</v>
      </c>
      <c r="C243" t="s">
        <v>1041</v>
      </c>
      <c r="D243" t="s">
        <v>35</v>
      </c>
      <c r="E243" t="s">
        <v>22</v>
      </c>
      <c r="F243">
        <v>290</v>
      </c>
      <c r="G243">
        <v>261000</v>
      </c>
      <c r="H243">
        <v>900</v>
      </c>
      <c r="I243" s="2">
        <v>46174</v>
      </c>
    </row>
    <row r="244" spans="1:9" x14ac:dyDescent="0.35">
      <c r="A244" t="s">
        <v>1284</v>
      </c>
      <c r="B244" s="2">
        <v>46197</v>
      </c>
      <c r="C244" t="s">
        <v>1045</v>
      </c>
      <c r="D244" t="s">
        <v>35</v>
      </c>
      <c r="E244" t="s">
        <v>22</v>
      </c>
      <c r="F244">
        <v>268</v>
      </c>
      <c r="G244">
        <v>241200</v>
      </c>
      <c r="H244">
        <v>900</v>
      </c>
      <c r="I244" s="2">
        <v>46174</v>
      </c>
    </row>
    <row r="245" spans="1:9" x14ac:dyDescent="0.35">
      <c r="A245" t="s">
        <v>1285</v>
      </c>
      <c r="B245" s="2">
        <v>46133</v>
      </c>
      <c r="C245" t="s">
        <v>1038</v>
      </c>
      <c r="D245" t="s">
        <v>16</v>
      </c>
      <c r="E245" t="s">
        <v>32</v>
      </c>
      <c r="F245">
        <v>286</v>
      </c>
      <c r="G245">
        <v>143000</v>
      </c>
      <c r="H245">
        <v>500</v>
      </c>
      <c r="I245" s="2">
        <v>46113</v>
      </c>
    </row>
    <row r="246" spans="1:9" x14ac:dyDescent="0.35">
      <c r="A246" t="s">
        <v>1286</v>
      </c>
      <c r="B246" s="2">
        <v>46130</v>
      </c>
      <c r="C246" t="s">
        <v>1045</v>
      </c>
      <c r="D246" t="s">
        <v>11</v>
      </c>
      <c r="E246" t="s">
        <v>46</v>
      </c>
      <c r="F246">
        <v>212</v>
      </c>
      <c r="G246">
        <v>2544000</v>
      </c>
      <c r="H246">
        <v>12000</v>
      </c>
      <c r="I246" s="2">
        <v>46113</v>
      </c>
    </row>
    <row r="247" spans="1:9" x14ac:dyDescent="0.35">
      <c r="A247" t="s">
        <v>1287</v>
      </c>
      <c r="B247" s="2">
        <v>46167</v>
      </c>
      <c r="C247" t="s">
        <v>1052</v>
      </c>
      <c r="D247" t="s">
        <v>35</v>
      </c>
      <c r="E247" t="s">
        <v>46</v>
      </c>
      <c r="F247">
        <v>237</v>
      </c>
      <c r="G247">
        <v>2844000</v>
      </c>
      <c r="H247">
        <v>12000</v>
      </c>
      <c r="I247" s="2">
        <v>46143</v>
      </c>
    </row>
    <row r="248" spans="1:9" x14ac:dyDescent="0.35">
      <c r="A248" t="s">
        <v>1288</v>
      </c>
      <c r="B248" s="2">
        <v>46141</v>
      </c>
      <c r="C248" t="s">
        <v>1045</v>
      </c>
      <c r="D248" t="s">
        <v>35</v>
      </c>
      <c r="E248" t="s">
        <v>24</v>
      </c>
      <c r="F248">
        <v>134</v>
      </c>
      <c r="G248">
        <v>6030000</v>
      </c>
      <c r="H248">
        <v>45000</v>
      </c>
      <c r="I248" s="2">
        <v>46113</v>
      </c>
    </row>
    <row r="249" spans="1:9" x14ac:dyDescent="0.35">
      <c r="A249" t="s">
        <v>1289</v>
      </c>
      <c r="B249" s="2">
        <v>46136</v>
      </c>
      <c r="C249" t="s">
        <v>1041</v>
      </c>
      <c r="D249" t="s">
        <v>20</v>
      </c>
      <c r="E249" t="s">
        <v>12</v>
      </c>
      <c r="F249">
        <v>87</v>
      </c>
      <c r="G249">
        <v>609000</v>
      </c>
      <c r="H249">
        <v>7000</v>
      </c>
      <c r="I249" s="2">
        <v>46113</v>
      </c>
    </row>
    <row r="250" spans="1:9" x14ac:dyDescent="0.35">
      <c r="A250" t="s">
        <v>1290</v>
      </c>
      <c r="B250" s="2">
        <v>46186</v>
      </c>
      <c r="C250" t="s">
        <v>1041</v>
      </c>
      <c r="D250" t="s">
        <v>11</v>
      </c>
      <c r="E250" t="s">
        <v>17</v>
      </c>
      <c r="F250">
        <v>94</v>
      </c>
      <c r="G250">
        <v>169200</v>
      </c>
      <c r="H250">
        <v>1800</v>
      </c>
      <c r="I250" s="2">
        <v>46174</v>
      </c>
    </row>
    <row r="251" spans="1:9" x14ac:dyDescent="0.35">
      <c r="A251" t="s">
        <v>1291</v>
      </c>
      <c r="B251" s="2">
        <v>46129</v>
      </c>
      <c r="C251" t="s">
        <v>1045</v>
      </c>
      <c r="D251" t="s">
        <v>35</v>
      </c>
      <c r="E251" t="s">
        <v>46</v>
      </c>
      <c r="F251">
        <v>122</v>
      </c>
      <c r="G251">
        <v>1464000</v>
      </c>
      <c r="H251">
        <v>12000</v>
      </c>
      <c r="I251" s="2">
        <v>46113</v>
      </c>
    </row>
    <row r="252" spans="1:9" x14ac:dyDescent="0.35">
      <c r="A252" t="s">
        <v>1292</v>
      </c>
      <c r="B252" s="2">
        <v>46130</v>
      </c>
      <c r="C252" t="s">
        <v>1041</v>
      </c>
      <c r="D252" t="s">
        <v>20</v>
      </c>
      <c r="E252" t="s">
        <v>24</v>
      </c>
      <c r="F252">
        <v>197</v>
      </c>
      <c r="G252">
        <v>8865000</v>
      </c>
      <c r="H252">
        <v>45000</v>
      </c>
      <c r="I252" s="2">
        <v>46113</v>
      </c>
    </row>
    <row r="253" spans="1:9" x14ac:dyDescent="0.35">
      <c r="A253" t="s">
        <v>1293</v>
      </c>
      <c r="B253" s="2">
        <v>46154</v>
      </c>
      <c r="C253" t="s">
        <v>1041</v>
      </c>
      <c r="D253" t="s">
        <v>20</v>
      </c>
      <c r="E253" t="s">
        <v>17</v>
      </c>
      <c r="F253">
        <v>234</v>
      </c>
      <c r="G253">
        <v>421200</v>
      </c>
      <c r="H253">
        <v>1800</v>
      </c>
      <c r="I253" s="2">
        <v>46143</v>
      </c>
    </row>
    <row r="254" spans="1:9" x14ac:dyDescent="0.35">
      <c r="A254" t="s">
        <v>1294</v>
      </c>
      <c r="B254" s="2">
        <v>46196</v>
      </c>
      <c r="C254" t="s">
        <v>1052</v>
      </c>
      <c r="D254" t="s">
        <v>16</v>
      </c>
      <c r="E254" t="s">
        <v>55</v>
      </c>
      <c r="F254">
        <v>58</v>
      </c>
      <c r="G254">
        <v>522000</v>
      </c>
      <c r="H254">
        <v>9000</v>
      </c>
      <c r="I254" s="2">
        <v>46174</v>
      </c>
    </row>
    <row r="255" spans="1:9" x14ac:dyDescent="0.35">
      <c r="A255" t="s">
        <v>1295</v>
      </c>
      <c r="B255" s="2">
        <v>46157</v>
      </c>
      <c r="C255" t="s">
        <v>1038</v>
      </c>
      <c r="D255" t="s">
        <v>20</v>
      </c>
      <c r="E255" t="s">
        <v>55</v>
      </c>
      <c r="F255">
        <v>278</v>
      </c>
      <c r="G255">
        <v>2502000</v>
      </c>
      <c r="H255">
        <v>9000</v>
      </c>
      <c r="I255" s="2">
        <v>46143</v>
      </c>
    </row>
    <row r="256" spans="1:9" x14ac:dyDescent="0.35">
      <c r="A256" t="s">
        <v>1296</v>
      </c>
      <c r="B256" s="2">
        <v>46194</v>
      </c>
      <c r="C256" t="s">
        <v>1052</v>
      </c>
      <c r="D256" t="s">
        <v>35</v>
      </c>
      <c r="E256" t="s">
        <v>17</v>
      </c>
      <c r="F256">
        <v>223</v>
      </c>
      <c r="G256">
        <v>401400</v>
      </c>
      <c r="H256">
        <v>1800</v>
      </c>
      <c r="I256" s="2">
        <v>46174</v>
      </c>
    </row>
    <row r="257" spans="1:9" x14ac:dyDescent="0.35">
      <c r="A257" t="s">
        <v>1297</v>
      </c>
      <c r="B257" s="2">
        <v>46129</v>
      </c>
      <c r="C257" t="s">
        <v>1043</v>
      </c>
      <c r="D257" t="s">
        <v>16</v>
      </c>
      <c r="E257" t="s">
        <v>55</v>
      </c>
      <c r="F257">
        <v>26</v>
      </c>
      <c r="G257">
        <v>234000</v>
      </c>
      <c r="H257">
        <v>9000</v>
      </c>
      <c r="I257" s="2">
        <v>46113</v>
      </c>
    </row>
    <row r="258" spans="1:9" x14ac:dyDescent="0.35">
      <c r="A258" t="s">
        <v>1298</v>
      </c>
      <c r="B258" s="2">
        <v>46185</v>
      </c>
      <c r="C258" t="s">
        <v>1052</v>
      </c>
      <c r="D258" t="s">
        <v>16</v>
      </c>
      <c r="E258" t="s">
        <v>43</v>
      </c>
      <c r="F258">
        <v>68</v>
      </c>
      <c r="G258">
        <v>170000</v>
      </c>
      <c r="H258">
        <v>2500</v>
      </c>
      <c r="I258" s="2">
        <v>46174</v>
      </c>
    </row>
    <row r="259" spans="1:9" x14ac:dyDescent="0.35">
      <c r="A259" t="s">
        <v>1299</v>
      </c>
      <c r="B259" s="2">
        <v>46126</v>
      </c>
      <c r="C259" t="s">
        <v>1045</v>
      </c>
      <c r="D259" t="s">
        <v>35</v>
      </c>
      <c r="E259" t="s">
        <v>46</v>
      </c>
      <c r="F259">
        <v>45</v>
      </c>
      <c r="G259">
        <v>540000</v>
      </c>
      <c r="H259">
        <v>12000</v>
      </c>
      <c r="I259" s="2">
        <v>46113</v>
      </c>
    </row>
    <row r="260" spans="1:9" x14ac:dyDescent="0.35">
      <c r="A260" t="s">
        <v>1300</v>
      </c>
      <c r="B260" s="2">
        <v>46161</v>
      </c>
      <c r="C260" t="s">
        <v>1038</v>
      </c>
      <c r="D260" t="s">
        <v>11</v>
      </c>
      <c r="E260" t="s">
        <v>43</v>
      </c>
      <c r="F260">
        <v>180</v>
      </c>
      <c r="G260">
        <v>450000</v>
      </c>
      <c r="H260">
        <v>2500</v>
      </c>
      <c r="I260" s="2">
        <v>46143</v>
      </c>
    </row>
    <row r="261" spans="1:9" x14ac:dyDescent="0.35">
      <c r="A261" t="s">
        <v>1301</v>
      </c>
      <c r="B261" s="2">
        <v>46141</v>
      </c>
      <c r="C261" t="s">
        <v>1045</v>
      </c>
      <c r="D261" t="s">
        <v>20</v>
      </c>
      <c r="E261" t="s">
        <v>12</v>
      </c>
      <c r="F261">
        <v>195</v>
      </c>
      <c r="G261">
        <v>1365000</v>
      </c>
      <c r="H261">
        <v>7000</v>
      </c>
      <c r="I261" s="2">
        <v>46113</v>
      </c>
    </row>
    <row r="262" spans="1:9" x14ac:dyDescent="0.35">
      <c r="A262" t="s">
        <v>1302</v>
      </c>
      <c r="B262" s="2">
        <v>46116</v>
      </c>
      <c r="C262" t="s">
        <v>1043</v>
      </c>
      <c r="D262" t="s">
        <v>16</v>
      </c>
      <c r="E262" t="s">
        <v>46</v>
      </c>
      <c r="F262">
        <v>98</v>
      </c>
      <c r="G262">
        <v>1176000</v>
      </c>
      <c r="H262">
        <v>12000</v>
      </c>
      <c r="I262" s="2">
        <v>46113</v>
      </c>
    </row>
    <row r="263" spans="1:9" x14ac:dyDescent="0.35">
      <c r="A263" t="s">
        <v>1303</v>
      </c>
      <c r="B263" s="2">
        <v>46194</v>
      </c>
      <c r="C263" t="s">
        <v>1038</v>
      </c>
      <c r="D263" t="s">
        <v>11</v>
      </c>
      <c r="E263" t="s">
        <v>24</v>
      </c>
      <c r="F263">
        <v>21</v>
      </c>
      <c r="G263">
        <v>945000</v>
      </c>
      <c r="H263">
        <v>45000</v>
      </c>
      <c r="I263" s="2">
        <v>46174</v>
      </c>
    </row>
    <row r="264" spans="1:9" x14ac:dyDescent="0.35">
      <c r="A264" t="s">
        <v>1304</v>
      </c>
      <c r="B264" s="2">
        <v>46132</v>
      </c>
      <c r="C264" t="s">
        <v>1041</v>
      </c>
      <c r="D264" t="s">
        <v>35</v>
      </c>
      <c r="E264" t="s">
        <v>43</v>
      </c>
      <c r="F264">
        <v>151</v>
      </c>
      <c r="G264">
        <v>377500</v>
      </c>
      <c r="H264">
        <v>2500</v>
      </c>
      <c r="I264" s="2">
        <v>46113</v>
      </c>
    </row>
    <row r="265" spans="1:9" x14ac:dyDescent="0.35">
      <c r="A265" t="s">
        <v>1305</v>
      </c>
      <c r="B265" s="2">
        <v>46159</v>
      </c>
      <c r="C265" t="s">
        <v>1052</v>
      </c>
      <c r="D265" t="s">
        <v>20</v>
      </c>
      <c r="E265" t="s">
        <v>43</v>
      </c>
      <c r="F265">
        <v>295</v>
      </c>
      <c r="G265">
        <v>737500</v>
      </c>
      <c r="H265">
        <v>2500</v>
      </c>
      <c r="I265" s="2">
        <v>46143</v>
      </c>
    </row>
    <row r="266" spans="1:9" x14ac:dyDescent="0.35">
      <c r="A266" t="s">
        <v>1306</v>
      </c>
      <c r="B266" s="2">
        <v>46121</v>
      </c>
      <c r="C266" t="s">
        <v>1045</v>
      </c>
      <c r="D266" t="s">
        <v>20</v>
      </c>
      <c r="E266" t="s">
        <v>12</v>
      </c>
      <c r="F266">
        <v>136</v>
      </c>
      <c r="G266">
        <v>952000</v>
      </c>
      <c r="H266">
        <v>7000</v>
      </c>
      <c r="I266" s="2">
        <v>46113</v>
      </c>
    </row>
    <row r="267" spans="1:9" x14ac:dyDescent="0.35">
      <c r="A267" t="s">
        <v>1307</v>
      </c>
      <c r="B267" s="2">
        <v>46189</v>
      </c>
      <c r="C267" t="s">
        <v>1043</v>
      </c>
      <c r="D267" t="s">
        <v>16</v>
      </c>
      <c r="E267" t="s">
        <v>43</v>
      </c>
      <c r="F267">
        <v>183</v>
      </c>
      <c r="G267">
        <v>457500</v>
      </c>
      <c r="H267">
        <v>2500</v>
      </c>
      <c r="I267" s="2">
        <v>46174</v>
      </c>
    </row>
    <row r="268" spans="1:9" x14ac:dyDescent="0.35">
      <c r="A268" t="s">
        <v>1308</v>
      </c>
      <c r="B268" s="2">
        <v>46191</v>
      </c>
      <c r="C268" t="s">
        <v>1041</v>
      </c>
      <c r="D268" t="s">
        <v>20</v>
      </c>
      <c r="E268" t="s">
        <v>22</v>
      </c>
      <c r="F268">
        <v>47</v>
      </c>
      <c r="G268">
        <v>42300</v>
      </c>
      <c r="H268">
        <v>900</v>
      </c>
      <c r="I268" s="2">
        <v>46174</v>
      </c>
    </row>
    <row r="269" spans="1:9" x14ac:dyDescent="0.35">
      <c r="A269" t="s">
        <v>1309</v>
      </c>
      <c r="B269" s="2">
        <v>46139</v>
      </c>
      <c r="C269" t="s">
        <v>1052</v>
      </c>
      <c r="D269" t="s">
        <v>20</v>
      </c>
      <c r="E269" t="s">
        <v>24</v>
      </c>
      <c r="F269">
        <v>20</v>
      </c>
      <c r="G269">
        <v>900000</v>
      </c>
      <c r="H269">
        <v>45000</v>
      </c>
      <c r="I269" s="2">
        <v>46113</v>
      </c>
    </row>
    <row r="270" spans="1:9" x14ac:dyDescent="0.35">
      <c r="A270" t="s">
        <v>1310</v>
      </c>
      <c r="B270" s="2">
        <v>46127</v>
      </c>
      <c r="C270" t="s">
        <v>1041</v>
      </c>
      <c r="D270" t="s">
        <v>20</v>
      </c>
      <c r="E270" t="s">
        <v>55</v>
      </c>
      <c r="F270">
        <v>207</v>
      </c>
      <c r="G270">
        <v>1863000</v>
      </c>
      <c r="H270">
        <v>9000</v>
      </c>
      <c r="I270" s="2">
        <v>46113</v>
      </c>
    </row>
    <row r="271" spans="1:9" x14ac:dyDescent="0.35">
      <c r="A271" t="s">
        <v>1311</v>
      </c>
      <c r="B271" s="2">
        <v>46131</v>
      </c>
      <c r="C271" t="s">
        <v>1052</v>
      </c>
      <c r="D271" t="s">
        <v>20</v>
      </c>
      <c r="E271" t="s">
        <v>24</v>
      </c>
      <c r="F271">
        <v>75</v>
      </c>
      <c r="G271">
        <v>3375000</v>
      </c>
      <c r="H271">
        <v>45000</v>
      </c>
      <c r="I271" s="2">
        <v>46113</v>
      </c>
    </row>
    <row r="272" spans="1:9" x14ac:dyDescent="0.35">
      <c r="A272" t="s">
        <v>1312</v>
      </c>
      <c r="B272" s="2">
        <v>46202</v>
      </c>
      <c r="C272" t="s">
        <v>1038</v>
      </c>
      <c r="D272" t="s">
        <v>35</v>
      </c>
      <c r="E272" t="s">
        <v>22</v>
      </c>
      <c r="F272">
        <v>54</v>
      </c>
      <c r="G272">
        <v>48600</v>
      </c>
      <c r="H272">
        <v>900</v>
      </c>
      <c r="I272" s="2">
        <v>46174</v>
      </c>
    </row>
    <row r="273" spans="1:9" x14ac:dyDescent="0.35">
      <c r="A273" t="s">
        <v>1313</v>
      </c>
      <c r="B273" s="2">
        <v>46164</v>
      </c>
      <c r="C273" t="s">
        <v>1041</v>
      </c>
      <c r="D273" t="s">
        <v>11</v>
      </c>
      <c r="E273" t="s">
        <v>12</v>
      </c>
      <c r="F273">
        <v>131</v>
      </c>
      <c r="G273">
        <v>917000</v>
      </c>
      <c r="H273">
        <v>7000</v>
      </c>
      <c r="I273" s="2">
        <v>46143</v>
      </c>
    </row>
    <row r="274" spans="1:9" x14ac:dyDescent="0.35">
      <c r="A274" t="s">
        <v>1314</v>
      </c>
      <c r="B274" s="2">
        <v>46138</v>
      </c>
      <c r="C274" t="s">
        <v>1041</v>
      </c>
      <c r="D274" t="s">
        <v>35</v>
      </c>
      <c r="E274" t="s">
        <v>12</v>
      </c>
      <c r="F274">
        <v>55</v>
      </c>
      <c r="G274">
        <v>385000</v>
      </c>
      <c r="H274">
        <v>7000</v>
      </c>
      <c r="I274" s="2">
        <v>46113</v>
      </c>
    </row>
    <row r="275" spans="1:9" x14ac:dyDescent="0.35">
      <c r="A275" t="s">
        <v>1315</v>
      </c>
      <c r="B275" s="2">
        <v>46201</v>
      </c>
      <c r="C275" t="s">
        <v>1041</v>
      </c>
      <c r="D275" t="s">
        <v>35</v>
      </c>
      <c r="E275" t="s">
        <v>46</v>
      </c>
      <c r="F275">
        <v>236</v>
      </c>
      <c r="G275">
        <v>2832000</v>
      </c>
      <c r="H275">
        <v>12000</v>
      </c>
      <c r="I275" s="2">
        <v>46174</v>
      </c>
    </row>
    <row r="276" spans="1:9" x14ac:dyDescent="0.35">
      <c r="A276" t="s">
        <v>1316</v>
      </c>
      <c r="B276" s="2">
        <v>46138</v>
      </c>
      <c r="C276" t="s">
        <v>1038</v>
      </c>
      <c r="D276" t="s">
        <v>16</v>
      </c>
      <c r="E276" t="s">
        <v>24</v>
      </c>
      <c r="F276">
        <v>99</v>
      </c>
      <c r="G276">
        <v>4455000</v>
      </c>
      <c r="H276">
        <v>45000</v>
      </c>
      <c r="I276" s="2">
        <v>46113</v>
      </c>
    </row>
    <row r="277" spans="1:9" x14ac:dyDescent="0.35">
      <c r="A277" t="s">
        <v>1317</v>
      </c>
      <c r="B277" s="2">
        <v>46138</v>
      </c>
      <c r="C277" t="s">
        <v>1043</v>
      </c>
      <c r="D277" t="s">
        <v>20</v>
      </c>
      <c r="E277" t="s">
        <v>17</v>
      </c>
      <c r="F277">
        <v>102</v>
      </c>
      <c r="G277">
        <v>183600</v>
      </c>
      <c r="H277">
        <v>1800</v>
      </c>
      <c r="I277" s="2">
        <v>46113</v>
      </c>
    </row>
    <row r="278" spans="1:9" x14ac:dyDescent="0.35">
      <c r="A278" t="s">
        <v>1318</v>
      </c>
      <c r="B278" s="2">
        <v>46158</v>
      </c>
      <c r="C278" t="s">
        <v>1052</v>
      </c>
      <c r="D278" t="s">
        <v>35</v>
      </c>
      <c r="E278" t="s">
        <v>17</v>
      </c>
      <c r="F278">
        <v>84</v>
      </c>
      <c r="G278">
        <v>151200</v>
      </c>
      <c r="H278">
        <v>1800</v>
      </c>
      <c r="I278" s="2">
        <v>46143</v>
      </c>
    </row>
    <row r="279" spans="1:9" x14ac:dyDescent="0.35">
      <c r="A279" t="s">
        <v>1319</v>
      </c>
      <c r="B279" s="2">
        <v>46161</v>
      </c>
      <c r="C279" t="s">
        <v>1041</v>
      </c>
      <c r="D279" t="s">
        <v>20</v>
      </c>
      <c r="E279" t="s">
        <v>12</v>
      </c>
      <c r="F279">
        <v>147</v>
      </c>
      <c r="G279">
        <v>1029000</v>
      </c>
      <c r="H279">
        <v>7000</v>
      </c>
      <c r="I279" s="2">
        <v>46143</v>
      </c>
    </row>
    <row r="280" spans="1:9" x14ac:dyDescent="0.35">
      <c r="A280" t="s">
        <v>1320</v>
      </c>
      <c r="B280" s="2">
        <v>46194</v>
      </c>
      <c r="C280" t="s">
        <v>1038</v>
      </c>
      <c r="D280" t="s">
        <v>35</v>
      </c>
      <c r="E280" t="s">
        <v>43</v>
      </c>
      <c r="F280">
        <v>41</v>
      </c>
      <c r="G280">
        <v>102500</v>
      </c>
      <c r="H280">
        <v>2500</v>
      </c>
      <c r="I280" s="2">
        <v>46174</v>
      </c>
    </row>
    <row r="281" spans="1:9" x14ac:dyDescent="0.35">
      <c r="A281" t="s">
        <v>1321</v>
      </c>
      <c r="B281" s="2">
        <v>46165</v>
      </c>
      <c r="C281" t="s">
        <v>1043</v>
      </c>
      <c r="D281" t="s">
        <v>35</v>
      </c>
      <c r="E281" t="s">
        <v>12</v>
      </c>
      <c r="F281">
        <v>235</v>
      </c>
      <c r="G281">
        <v>1645000</v>
      </c>
      <c r="H281">
        <v>7000</v>
      </c>
      <c r="I281" s="2">
        <v>46143</v>
      </c>
    </row>
    <row r="282" spans="1:9" x14ac:dyDescent="0.35">
      <c r="A282" t="s">
        <v>1322</v>
      </c>
      <c r="B282" s="2">
        <v>46115</v>
      </c>
      <c r="C282" t="s">
        <v>1052</v>
      </c>
      <c r="D282" t="s">
        <v>16</v>
      </c>
      <c r="E282" t="s">
        <v>12</v>
      </c>
      <c r="F282">
        <v>126</v>
      </c>
      <c r="G282">
        <v>882000</v>
      </c>
      <c r="H282">
        <v>7000</v>
      </c>
      <c r="I282" s="2">
        <v>46113</v>
      </c>
    </row>
    <row r="283" spans="1:9" x14ac:dyDescent="0.35">
      <c r="A283" t="s">
        <v>1323</v>
      </c>
      <c r="B283" s="2">
        <v>46178</v>
      </c>
      <c r="C283" t="s">
        <v>1038</v>
      </c>
      <c r="D283" t="s">
        <v>11</v>
      </c>
      <c r="E283" t="s">
        <v>12</v>
      </c>
      <c r="F283">
        <v>128</v>
      </c>
      <c r="G283">
        <v>896000</v>
      </c>
      <c r="H283">
        <v>7000</v>
      </c>
      <c r="I283" s="2">
        <v>46174</v>
      </c>
    </row>
    <row r="284" spans="1:9" x14ac:dyDescent="0.35">
      <c r="A284" t="s">
        <v>1324</v>
      </c>
      <c r="B284" s="2">
        <v>46154</v>
      </c>
      <c r="C284" t="s">
        <v>1052</v>
      </c>
      <c r="D284" t="s">
        <v>11</v>
      </c>
      <c r="E284" t="s">
        <v>12</v>
      </c>
      <c r="F284">
        <v>200</v>
      </c>
      <c r="G284">
        <v>1400000</v>
      </c>
      <c r="H284">
        <v>7000</v>
      </c>
      <c r="I284" s="2">
        <v>46143</v>
      </c>
    </row>
    <row r="285" spans="1:9" x14ac:dyDescent="0.35">
      <c r="A285" t="s">
        <v>1325</v>
      </c>
      <c r="B285" s="2">
        <v>46131</v>
      </c>
      <c r="C285" t="s">
        <v>1041</v>
      </c>
      <c r="D285" t="s">
        <v>35</v>
      </c>
      <c r="E285" t="s">
        <v>17</v>
      </c>
      <c r="F285">
        <v>183</v>
      </c>
      <c r="G285">
        <v>329400</v>
      </c>
      <c r="H285">
        <v>1800</v>
      </c>
      <c r="I285" s="2">
        <v>46113</v>
      </c>
    </row>
    <row r="286" spans="1:9" x14ac:dyDescent="0.35">
      <c r="A286" t="s">
        <v>1326</v>
      </c>
      <c r="B286" s="2">
        <v>46129</v>
      </c>
      <c r="C286" t="s">
        <v>1043</v>
      </c>
      <c r="D286" t="s">
        <v>16</v>
      </c>
      <c r="E286" t="s">
        <v>17</v>
      </c>
      <c r="F286">
        <v>87</v>
      </c>
      <c r="G286">
        <v>156600</v>
      </c>
      <c r="H286">
        <v>1800</v>
      </c>
      <c r="I286" s="2">
        <v>46113</v>
      </c>
    </row>
    <row r="287" spans="1:9" x14ac:dyDescent="0.35">
      <c r="A287" t="s">
        <v>1327</v>
      </c>
      <c r="B287" s="2">
        <v>46145</v>
      </c>
      <c r="C287" t="s">
        <v>1038</v>
      </c>
      <c r="D287" t="s">
        <v>20</v>
      </c>
      <c r="E287" t="s">
        <v>55</v>
      </c>
      <c r="F287">
        <v>199</v>
      </c>
      <c r="G287">
        <v>1791000</v>
      </c>
      <c r="H287">
        <v>9000</v>
      </c>
      <c r="I287" s="2">
        <v>46143</v>
      </c>
    </row>
    <row r="288" spans="1:9" x14ac:dyDescent="0.35">
      <c r="A288" t="s">
        <v>1328</v>
      </c>
      <c r="B288" s="2">
        <v>46188</v>
      </c>
      <c r="C288" t="s">
        <v>1043</v>
      </c>
      <c r="D288" t="s">
        <v>20</v>
      </c>
      <c r="E288" t="s">
        <v>55</v>
      </c>
      <c r="F288">
        <v>200</v>
      </c>
      <c r="G288">
        <v>1800000</v>
      </c>
      <c r="H288">
        <v>9000</v>
      </c>
      <c r="I288" s="2">
        <v>46174</v>
      </c>
    </row>
    <row r="289" spans="1:9" x14ac:dyDescent="0.35">
      <c r="A289" t="s">
        <v>1329</v>
      </c>
      <c r="B289" s="2">
        <v>46161</v>
      </c>
      <c r="C289" t="s">
        <v>1041</v>
      </c>
      <c r="D289" t="s">
        <v>35</v>
      </c>
      <c r="E289" t="s">
        <v>46</v>
      </c>
      <c r="F289">
        <v>188</v>
      </c>
      <c r="G289">
        <v>2256000</v>
      </c>
      <c r="H289">
        <v>12000</v>
      </c>
      <c r="I289" s="2">
        <v>46143</v>
      </c>
    </row>
    <row r="290" spans="1:9" x14ac:dyDescent="0.35">
      <c r="A290" t="s">
        <v>1330</v>
      </c>
      <c r="B290" s="2">
        <v>46168</v>
      </c>
      <c r="C290" t="s">
        <v>1043</v>
      </c>
      <c r="D290" t="s">
        <v>11</v>
      </c>
      <c r="E290" t="s">
        <v>12</v>
      </c>
      <c r="F290">
        <v>41</v>
      </c>
      <c r="G290">
        <v>287000</v>
      </c>
      <c r="H290">
        <v>7000</v>
      </c>
      <c r="I290" s="2">
        <v>46143</v>
      </c>
    </row>
    <row r="291" spans="1:9" x14ac:dyDescent="0.35">
      <c r="A291" t="s">
        <v>1331</v>
      </c>
      <c r="B291" s="2">
        <v>46175</v>
      </c>
      <c r="C291" t="s">
        <v>1043</v>
      </c>
      <c r="D291" t="s">
        <v>16</v>
      </c>
      <c r="E291" t="s">
        <v>17</v>
      </c>
      <c r="F291">
        <v>85</v>
      </c>
      <c r="G291">
        <v>153000</v>
      </c>
      <c r="H291">
        <v>1800</v>
      </c>
      <c r="I291" s="2">
        <v>46174</v>
      </c>
    </row>
    <row r="292" spans="1:9" x14ac:dyDescent="0.35">
      <c r="A292" t="s">
        <v>1332</v>
      </c>
      <c r="B292" s="2">
        <v>46115</v>
      </c>
      <c r="C292" t="s">
        <v>1045</v>
      </c>
      <c r="D292" t="s">
        <v>11</v>
      </c>
      <c r="E292" t="s">
        <v>24</v>
      </c>
      <c r="F292">
        <v>40</v>
      </c>
      <c r="G292">
        <v>1800000</v>
      </c>
      <c r="H292">
        <v>45000</v>
      </c>
      <c r="I292" s="2">
        <v>46113</v>
      </c>
    </row>
    <row r="293" spans="1:9" x14ac:dyDescent="0.35">
      <c r="A293" t="s">
        <v>1333</v>
      </c>
      <c r="B293" s="2">
        <v>46161</v>
      </c>
      <c r="C293" t="s">
        <v>1043</v>
      </c>
      <c r="D293" t="s">
        <v>20</v>
      </c>
      <c r="E293" t="s">
        <v>22</v>
      </c>
      <c r="F293">
        <v>119</v>
      </c>
      <c r="G293">
        <v>107100</v>
      </c>
      <c r="H293">
        <v>900</v>
      </c>
      <c r="I293" s="2">
        <v>46143</v>
      </c>
    </row>
    <row r="294" spans="1:9" x14ac:dyDescent="0.35">
      <c r="A294" t="s">
        <v>1334</v>
      </c>
      <c r="B294" s="2">
        <v>46167</v>
      </c>
      <c r="C294" t="s">
        <v>1052</v>
      </c>
      <c r="D294" t="s">
        <v>11</v>
      </c>
      <c r="E294" t="s">
        <v>46</v>
      </c>
      <c r="F294">
        <v>122</v>
      </c>
      <c r="G294">
        <v>1464000</v>
      </c>
      <c r="H294">
        <v>12000</v>
      </c>
      <c r="I294" s="2">
        <v>46143</v>
      </c>
    </row>
    <row r="295" spans="1:9" x14ac:dyDescent="0.35">
      <c r="A295" t="s">
        <v>1335</v>
      </c>
      <c r="B295" s="2">
        <v>46138</v>
      </c>
      <c r="C295" t="s">
        <v>1038</v>
      </c>
      <c r="D295" t="s">
        <v>20</v>
      </c>
      <c r="E295" t="s">
        <v>17</v>
      </c>
      <c r="F295">
        <v>66</v>
      </c>
      <c r="G295">
        <v>118800</v>
      </c>
      <c r="H295">
        <v>1800</v>
      </c>
      <c r="I295" s="2">
        <v>46113</v>
      </c>
    </row>
    <row r="296" spans="1:9" x14ac:dyDescent="0.35">
      <c r="A296" t="s">
        <v>1336</v>
      </c>
      <c r="B296" s="2">
        <v>46184</v>
      </c>
      <c r="C296" t="s">
        <v>1045</v>
      </c>
      <c r="D296" t="s">
        <v>16</v>
      </c>
      <c r="E296" t="s">
        <v>24</v>
      </c>
      <c r="F296">
        <v>58</v>
      </c>
      <c r="G296">
        <v>2610000</v>
      </c>
      <c r="H296">
        <v>45000</v>
      </c>
      <c r="I296" s="2">
        <v>46174</v>
      </c>
    </row>
    <row r="297" spans="1:9" x14ac:dyDescent="0.35">
      <c r="A297" t="s">
        <v>1337</v>
      </c>
      <c r="B297" s="2">
        <v>46164</v>
      </c>
      <c r="C297" t="s">
        <v>1038</v>
      </c>
      <c r="D297" t="s">
        <v>16</v>
      </c>
      <c r="E297" t="s">
        <v>12</v>
      </c>
      <c r="F297">
        <v>109</v>
      </c>
      <c r="G297">
        <v>763000</v>
      </c>
      <c r="H297">
        <v>7000</v>
      </c>
      <c r="I297" s="2">
        <v>46143</v>
      </c>
    </row>
    <row r="298" spans="1:9" x14ac:dyDescent="0.35">
      <c r="A298" t="s">
        <v>1338</v>
      </c>
      <c r="B298" s="2">
        <v>46119</v>
      </c>
      <c r="C298" t="s">
        <v>1038</v>
      </c>
      <c r="D298" t="s">
        <v>35</v>
      </c>
      <c r="E298" t="s">
        <v>32</v>
      </c>
      <c r="F298">
        <v>104</v>
      </c>
      <c r="G298">
        <v>52000</v>
      </c>
      <c r="H298">
        <v>500</v>
      </c>
      <c r="I298" s="2">
        <v>46113</v>
      </c>
    </row>
    <row r="299" spans="1:9" x14ac:dyDescent="0.35">
      <c r="A299" t="s">
        <v>1339</v>
      </c>
      <c r="B299" s="2">
        <v>46158</v>
      </c>
      <c r="C299" t="s">
        <v>1041</v>
      </c>
      <c r="D299" t="s">
        <v>35</v>
      </c>
      <c r="E299" t="s">
        <v>12</v>
      </c>
      <c r="F299">
        <v>292</v>
      </c>
      <c r="G299">
        <v>2044000</v>
      </c>
      <c r="H299">
        <v>7000</v>
      </c>
      <c r="I299" s="2">
        <v>46143</v>
      </c>
    </row>
    <row r="300" spans="1:9" x14ac:dyDescent="0.35">
      <c r="A300" t="s">
        <v>1340</v>
      </c>
      <c r="B300" s="2">
        <v>46158</v>
      </c>
      <c r="C300" t="s">
        <v>1041</v>
      </c>
      <c r="D300" t="s">
        <v>11</v>
      </c>
      <c r="E300" t="s">
        <v>55</v>
      </c>
      <c r="F300">
        <v>207</v>
      </c>
      <c r="G300">
        <v>1863000</v>
      </c>
      <c r="H300">
        <v>9000</v>
      </c>
      <c r="I300" s="2">
        <v>46143</v>
      </c>
    </row>
    <row r="301" spans="1:9" x14ac:dyDescent="0.35">
      <c r="A301" t="s">
        <v>1341</v>
      </c>
      <c r="B301" s="2">
        <v>46128</v>
      </c>
      <c r="C301" t="s">
        <v>1045</v>
      </c>
      <c r="D301" t="s">
        <v>16</v>
      </c>
      <c r="E301" t="s">
        <v>22</v>
      </c>
      <c r="F301">
        <v>178</v>
      </c>
      <c r="G301">
        <v>160200</v>
      </c>
      <c r="H301">
        <v>900</v>
      </c>
      <c r="I301" s="2">
        <v>46113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301"/>
  <sheetViews>
    <sheetView workbookViewId="0">
      <selection activeCell="I7" sqref="I7"/>
    </sheetView>
  </sheetViews>
  <sheetFormatPr defaultRowHeight="14.5" x14ac:dyDescent="0.35"/>
  <cols>
    <col min="1" max="1" width="13.26953125" customWidth="1"/>
    <col min="2" max="2" width="17.81640625" style="2" bestFit="1" customWidth="1"/>
    <col min="3" max="3" width="17.453125" bestFit="1" customWidth="1"/>
    <col min="4" max="4" width="12.453125" customWidth="1"/>
    <col min="5" max="5" width="9.453125" customWidth="1"/>
    <col min="6" max="6" width="10.1796875" customWidth="1"/>
    <col min="7" max="7" width="16.1796875" customWidth="1"/>
  </cols>
  <sheetData>
    <row r="1" spans="1:7" x14ac:dyDescent="0.35">
      <c r="A1" s="1" t="s">
        <v>1033</v>
      </c>
      <c r="B1" s="16" t="s">
        <v>1034</v>
      </c>
      <c r="C1" s="1" t="s">
        <v>1035</v>
      </c>
      <c r="D1" s="1" t="s">
        <v>3</v>
      </c>
      <c r="E1" s="1" t="s">
        <v>4</v>
      </c>
      <c r="F1" s="1" t="s">
        <v>5</v>
      </c>
      <c r="G1" s="1" t="s">
        <v>1036</v>
      </c>
    </row>
    <row r="2" spans="1:7" x14ac:dyDescent="0.35">
      <c r="A2" t="s">
        <v>1037</v>
      </c>
      <c r="B2" s="2">
        <v>46130</v>
      </c>
      <c r="C2" t="s">
        <v>1038</v>
      </c>
      <c r="D2" t="s">
        <v>20</v>
      </c>
      <c r="E2" t="s">
        <v>32</v>
      </c>
      <c r="F2">
        <v>41</v>
      </c>
      <c r="G2">
        <v>20500</v>
      </c>
    </row>
    <row r="3" spans="1:7" x14ac:dyDescent="0.35">
      <c r="A3" t="s">
        <v>1039</v>
      </c>
      <c r="B3" s="2">
        <v>46166</v>
      </c>
      <c r="C3" t="s">
        <v>1038</v>
      </c>
      <c r="D3" t="s">
        <v>16</v>
      </c>
      <c r="E3" t="s">
        <v>46</v>
      </c>
      <c r="F3">
        <v>126</v>
      </c>
      <c r="G3">
        <v>1512000</v>
      </c>
    </row>
    <row r="4" spans="1:7" x14ac:dyDescent="0.35">
      <c r="A4" t="s">
        <v>1040</v>
      </c>
      <c r="B4" s="2">
        <v>46189</v>
      </c>
      <c r="C4" t="s">
        <v>1041</v>
      </c>
      <c r="D4" t="s">
        <v>35</v>
      </c>
      <c r="E4" t="s">
        <v>22</v>
      </c>
      <c r="F4">
        <v>246</v>
      </c>
      <c r="G4">
        <v>221400</v>
      </c>
    </row>
    <row r="5" spans="1:7" x14ac:dyDescent="0.35">
      <c r="A5" t="s">
        <v>1042</v>
      </c>
      <c r="B5" s="2">
        <v>46155</v>
      </c>
      <c r="C5" t="s">
        <v>1043</v>
      </c>
      <c r="D5" t="s">
        <v>35</v>
      </c>
      <c r="E5" t="s">
        <v>55</v>
      </c>
      <c r="F5">
        <v>235</v>
      </c>
      <c r="G5">
        <v>2115000</v>
      </c>
    </row>
    <row r="6" spans="1:7" x14ac:dyDescent="0.35">
      <c r="A6" t="s">
        <v>1044</v>
      </c>
      <c r="B6" s="2">
        <v>46151</v>
      </c>
      <c r="C6" t="s">
        <v>1045</v>
      </c>
      <c r="D6" t="s">
        <v>16</v>
      </c>
      <c r="E6" t="s">
        <v>55</v>
      </c>
      <c r="F6">
        <v>88</v>
      </c>
      <c r="G6">
        <v>792000</v>
      </c>
    </row>
    <row r="7" spans="1:7" x14ac:dyDescent="0.35">
      <c r="A7" t="s">
        <v>1046</v>
      </c>
      <c r="B7" s="2">
        <v>46173</v>
      </c>
      <c r="C7" t="s">
        <v>1043</v>
      </c>
      <c r="D7" t="s">
        <v>16</v>
      </c>
      <c r="E7" t="s">
        <v>46</v>
      </c>
      <c r="F7">
        <v>103</v>
      </c>
      <c r="G7">
        <v>1236000</v>
      </c>
    </row>
    <row r="8" spans="1:7" x14ac:dyDescent="0.35">
      <c r="A8" t="s">
        <v>1047</v>
      </c>
      <c r="B8" s="2">
        <v>46154</v>
      </c>
      <c r="C8" t="s">
        <v>1045</v>
      </c>
      <c r="D8" t="s">
        <v>16</v>
      </c>
      <c r="E8" t="s">
        <v>32</v>
      </c>
      <c r="F8">
        <v>122</v>
      </c>
      <c r="G8">
        <v>61000</v>
      </c>
    </row>
    <row r="9" spans="1:7" x14ac:dyDescent="0.35">
      <c r="A9" t="s">
        <v>1048</v>
      </c>
      <c r="B9" s="2">
        <v>46193</v>
      </c>
      <c r="C9" t="s">
        <v>1038</v>
      </c>
      <c r="D9" t="s">
        <v>35</v>
      </c>
      <c r="E9" t="s">
        <v>43</v>
      </c>
      <c r="F9">
        <v>58</v>
      </c>
      <c r="G9">
        <v>145000</v>
      </c>
    </row>
    <row r="10" spans="1:7" x14ac:dyDescent="0.35">
      <c r="A10" t="s">
        <v>1049</v>
      </c>
      <c r="B10" s="2">
        <v>46191</v>
      </c>
      <c r="C10" t="s">
        <v>1043</v>
      </c>
      <c r="D10" t="s">
        <v>35</v>
      </c>
      <c r="E10" t="s">
        <v>46</v>
      </c>
      <c r="F10">
        <v>32</v>
      </c>
      <c r="G10">
        <v>384000</v>
      </c>
    </row>
    <row r="11" spans="1:7" x14ac:dyDescent="0.35">
      <c r="A11" t="s">
        <v>1050</v>
      </c>
      <c r="B11" s="2">
        <v>46130</v>
      </c>
      <c r="C11" t="s">
        <v>1038</v>
      </c>
      <c r="D11" t="s">
        <v>20</v>
      </c>
      <c r="E11" t="s">
        <v>43</v>
      </c>
      <c r="F11">
        <v>200</v>
      </c>
      <c r="G11">
        <v>500000</v>
      </c>
    </row>
    <row r="12" spans="1:7" x14ac:dyDescent="0.35">
      <c r="A12" t="s">
        <v>1051</v>
      </c>
      <c r="B12" s="2">
        <v>46135</v>
      </c>
      <c r="C12" t="s">
        <v>1052</v>
      </c>
      <c r="D12" t="s">
        <v>20</v>
      </c>
      <c r="E12" t="s">
        <v>43</v>
      </c>
      <c r="F12">
        <v>287</v>
      </c>
      <c r="G12">
        <v>717500</v>
      </c>
    </row>
    <row r="13" spans="1:7" x14ac:dyDescent="0.35">
      <c r="A13" t="s">
        <v>1053</v>
      </c>
      <c r="B13" s="2">
        <v>46166</v>
      </c>
      <c r="C13" t="s">
        <v>1038</v>
      </c>
      <c r="D13" t="s">
        <v>35</v>
      </c>
      <c r="E13" t="s">
        <v>17</v>
      </c>
      <c r="F13">
        <v>32</v>
      </c>
      <c r="G13">
        <v>57600</v>
      </c>
    </row>
    <row r="14" spans="1:7" x14ac:dyDescent="0.35">
      <c r="A14" t="s">
        <v>1054</v>
      </c>
      <c r="B14" s="2">
        <v>46142</v>
      </c>
      <c r="C14" t="s">
        <v>1038</v>
      </c>
      <c r="D14" t="s">
        <v>20</v>
      </c>
      <c r="E14" t="s">
        <v>17</v>
      </c>
      <c r="F14">
        <v>139</v>
      </c>
      <c r="G14">
        <v>250200</v>
      </c>
    </row>
    <row r="15" spans="1:7" x14ac:dyDescent="0.35">
      <c r="A15" t="s">
        <v>1055</v>
      </c>
      <c r="B15" s="2">
        <v>46170</v>
      </c>
      <c r="C15" t="s">
        <v>1045</v>
      </c>
      <c r="D15" t="s">
        <v>16</v>
      </c>
      <c r="E15" t="s">
        <v>32</v>
      </c>
      <c r="F15">
        <v>76</v>
      </c>
      <c r="G15">
        <v>38000</v>
      </c>
    </row>
    <row r="16" spans="1:7" x14ac:dyDescent="0.35">
      <c r="A16" t="s">
        <v>1056</v>
      </c>
      <c r="B16" s="2">
        <v>46180</v>
      </c>
      <c r="C16" t="s">
        <v>1052</v>
      </c>
      <c r="D16" t="s">
        <v>11</v>
      </c>
      <c r="E16" t="s">
        <v>43</v>
      </c>
      <c r="F16">
        <v>59</v>
      </c>
      <c r="G16">
        <v>147500</v>
      </c>
    </row>
    <row r="17" spans="1:7" x14ac:dyDescent="0.35">
      <c r="A17" t="s">
        <v>1057</v>
      </c>
      <c r="B17" s="2">
        <v>46179</v>
      </c>
      <c r="C17" t="s">
        <v>1038</v>
      </c>
      <c r="D17" t="s">
        <v>20</v>
      </c>
      <c r="E17" t="s">
        <v>22</v>
      </c>
      <c r="F17">
        <v>147</v>
      </c>
      <c r="G17">
        <v>132300</v>
      </c>
    </row>
    <row r="18" spans="1:7" x14ac:dyDescent="0.35">
      <c r="A18" t="s">
        <v>1058</v>
      </c>
      <c r="B18" s="2">
        <v>46183</v>
      </c>
      <c r="C18" t="s">
        <v>1038</v>
      </c>
      <c r="D18" t="s">
        <v>35</v>
      </c>
      <c r="E18" t="s">
        <v>32</v>
      </c>
      <c r="F18">
        <v>192</v>
      </c>
      <c r="G18">
        <v>96000</v>
      </c>
    </row>
    <row r="19" spans="1:7" x14ac:dyDescent="0.35">
      <c r="A19" t="s">
        <v>1059</v>
      </c>
      <c r="B19" s="2">
        <v>46130</v>
      </c>
      <c r="C19" t="s">
        <v>1052</v>
      </c>
      <c r="D19" t="s">
        <v>20</v>
      </c>
      <c r="E19" t="s">
        <v>46</v>
      </c>
      <c r="F19">
        <v>54</v>
      </c>
      <c r="G19">
        <v>648000</v>
      </c>
    </row>
    <row r="20" spans="1:7" x14ac:dyDescent="0.35">
      <c r="A20" t="s">
        <v>1060</v>
      </c>
      <c r="B20" s="2">
        <v>46119</v>
      </c>
      <c r="C20" t="s">
        <v>1052</v>
      </c>
      <c r="D20" t="s">
        <v>20</v>
      </c>
      <c r="E20" t="s">
        <v>12</v>
      </c>
      <c r="F20">
        <v>278</v>
      </c>
      <c r="G20">
        <v>1946000</v>
      </c>
    </row>
    <row r="21" spans="1:7" x14ac:dyDescent="0.35">
      <c r="A21" t="s">
        <v>1061</v>
      </c>
      <c r="B21" s="2">
        <v>46152</v>
      </c>
      <c r="C21" t="s">
        <v>1043</v>
      </c>
      <c r="D21" t="s">
        <v>20</v>
      </c>
      <c r="E21" t="s">
        <v>22</v>
      </c>
      <c r="F21">
        <v>24</v>
      </c>
      <c r="G21">
        <v>21600</v>
      </c>
    </row>
    <row r="22" spans="1:7" x14ac:dyDescent="0.35">
      <c r="A22" t="s">
        <v>1062</v>
      </c>
      <c r="B22" s="2">
        <v>46182</v>
      </c>
      <c r="C22" t="s">
        <v>1045</v>
      </c>
      <c r="D22" t="s">
        <v>11</v>
      </c>
      <c r="E22" t="s">
        <v>24</v>
      </c>
      <c r="F22">
        <v>237</v>
      </c>
      <c r="G22">
        <v>10665000</v>
      </c>
    </row>
    <row r="23" spans="1:7" x14ac:dyDescent="0.35">
      <c r="A23" t="s">
        <v>1063</v>
      </c>
      <c r="B23" s="2">
        <v>46198</v>
      </c>
      <c r="C23" t="s">
        <v>1052</v>
      </c>
      <c r="D23" t="s">
        <v>16</v>
      </c>
      <c r="E23" t="s">
        <v>55</v>
      </c>
      <c r="F23">
        <v>30</v>
      </c>
      <c r="G23">
        <v>270000</v>
      </c>
    </row>
    <row r="24" spans="1:7" x14ac:dyDescent="0.35">
      <c r="A24" t="s">
        <v>1064</v>
      </c>
      <c r="B24" s="2">
        <v>46177</v>
      </c>
      <c r="C24" t="s">
        <v>1052</v>
      </c>
      <c r="D24" t="s">
        <v>35</v>
      </c>
      <c r="E24" t="s">
        <v>46</v>
      </c>
      <c r="F24">
        <v>136</v>
      </c>
      <c r="G24">
        <v>1632000</v>
      </c>
    </row>
    <row r="25" spans="1:7" x14ac:dyDescent="0.35">
      <c r="A25" t="s">
        <v>1065</v>
      </c>
      <c r="B25" s="2">
        <v>46180</v>
      </c>
      <c r="C25" t="s">
        <v>1041</v>
      </c>
      <c r="D25" t="s">
        <v>11</v>
      </c>
      <c r="E25" t="s">
        <v>46</v>
      </c>
      <c r="F25">
        <v>203</v>
      </c>
      <c r="G25">
        <v>2436000</v>
      </c>
    </row>
    <row r="26" spans="1:7" x14ac:dyDescent="0.35">
      <c r="A26" t="s">
        <v>1066</v>
      </c>
      <c r="B26" s="2">
        <v>46161</v>
      </c>
      <c r="C26" t="s">
        <v>1052</v>
      </c>
      <c r="D26" t="s">
        <v>35</v>
      </c>
      <c r="E26" t="s">
        <v>46</v>
      </c>
      <c r="F26">
        <v>135</v>
      </c>
      <c r="G26">
        <v>1620000</v>
      </c>
    </row>
    <row r="27" spans="1:7" x14ac:dyDescent="0.35">
      <c r="A27" t="s">
        <v>1067</v>
      </c>
      <c r="B27" s="2">
        <v>46164</v>
      </c>
      <c r="C27" t="s">
        <v>1045</v>
      </c>
      <c r="D27" t="s">
        <v>35</v>
      </c>
      <c r="E27" t="s">
        <v>22</v>
      </c>
      <c r="F27">
        <v>181</v>
      </c>
      <c r="G27">
        <v>162900</v>
      </c>
    </row>
    <row r="28" spans="1:7" x14ac:dyDescent="0.35">
      <c r="A28" t="s">
        <v>1068</v>
      </c>
      <c r="B28" s="2">
        <v>46141</v>
      </c>
      <c r="C28" t="s">
        <v>1038</v>
      </c>
      <c r="D28" t="s">
        <v>35</v>
      </c>
      <c r="E28" t="s">
        <v>24</v>
      </c>
      <c r="F28">
        <v>86</v>
      </c>
      <c r="G28">
        <v>3870000</v>
      </c>
    </row>
    <row r="29" spans="1:7" x14ac:dyDescent="0.35">
      <c r="A29" t="s">
        <v>1069</v>
      </c>
      <c r="B29" s="2">
        <v>46133</v>
      </c>
      <c r="C29" t="s">
        <v>1038</v>
      </c>
      <c r="D29" t="s">
        <v>11</v>
      </c>
      <c r="E29" t="s">
        <v>12</v>
      </c>
      <c r="F29">
        <v>219</v>
      </c>
      <c r="G29">
        <v>1533000</v>
      </c>
    </row>
    <row r="30" spans="1:7" x14ac:dyDescent="0.35">
      <c r="A30" t="s">
        <v>1070</v>
      </c>
      <c r="B30" s="2">
        <v>46202</v>
      </c>
      <c r="C30" t="s">
        <v>1038</v>
      </c>
      <c r="D30" t="s">
        <v>16</v>
      </c>
      <c r="E30" t="s">
        <v>32</v>
      </c>
      <c r="F30">
        <v>50</v>
      </c>
      <c r="G30">
        <v>25000</v>
      </c>
    </row>
    <row r="31" spans="1:7" x14ac:dyDescent="0.35">
      <c r="A31" t="s">
        <v>1071</v>
      </c>
      <c r="B31" s="2">
        <v>46190</v>
      </c>
      <c r="C31" t="s">
        <v>1038</v>
      </c>
      <c r="D31" t="s">
        <v>35</v>
      </c>
      <c r="E31" t="s">
        <v>17</v>
      </c>
      <c r="F31">
        <v>94</v>
      </c>
      <c r="G31">
        <v>169200</v>
      </c>
    </row>
    <row r="32" spans="1:7" x14ac:dyDescent="0.35">
      <c r="A32" t="s">
        <v>1072</v>
      </c>
      <c r="B32" s="2">
        <v>46121</v>
      </c>
      <c r="C32" t="s">
        <v>1041</v>
      </c>
      <c r="D32" t="s">
        <v>16</v>
      </c>
      <c r="E32" t="s">
        <v>24</v>
      </c>
      <c r="F32">
        <v>256</v>
      </c>
      <c r="G32">
        <v>11520000</v>
      </c>
    </row>
    <row r="33" spans="1:7" x14ac:dyDescent="0.35">
      <c r="A33" t="s">
        <v>1073</v>
      </c>
      <c r="B33" s="2">
        <v>46159</v>
      </c>
      <c r="C33" t="s">
        <v>1052</v>
      </c>
      <c r="D33" t="s">
        <v>16</v>
      </c>
      <c r="E33" t="s">
        <v>22</v>
      </c>
      <c r="F33">
        <v>85</v>
      </c>
      <c r="G33">
        <v>76500</v>
      </c>
    </row>
    <row r="34" spans="1:7" x14ac:dyDescent="0.35">
      <c r="A34" t="s">
        <v>1074</v>
      </c>
      <c r="B34" s="2">
        <v>46188</v>
      </c>
      <c r="C34" t="s">
        <v>1038</v>
      </c>
      <c r="D34" t="s">
        <v>20</v>
      </c>
      <c r="E34" t="s">
        <v>46</v>
      </c>
      <c r="F34">
        <v>89</v>
      </c>
      <c r="G34">
        <v>1068000</v>
      </c>
    </row>
    <row r="35" spans="1:7" x14ac:dyDescent="0.35">
      <c r="A35" t="s">
        <v>1075</v>
      </c>
      <c r="B35" s="2">
        <v>46154</v>
      </c>
      <c r="C35" t="s">
        <v>1043</v>
      </c>
      <c r="D35" t="s">
        <v>11</v>
      </c>
      <c r="E35" t="s">
        <v>55</v>
      </c>
      <c r="F35">
        <v>39</v>
      </c>
      <c r="G35">
        <v>351000</v>
      </c>
    </row>
    <row r="36" spans="1:7" x14ac:dyDescent="0.35">
      <c r="A36" t="s">
        <v>1076</v>
      </c>
      <c r="B36" s="2">
        <v>46163</v>
      </c>
      <c r="C36" t="s">
        <v>1038</v>
      </c>
      <c r="D36" t="s">
        <v>11</v>
      </c>
      <c r="E36" t="s">
        <v>46</v>
      </c>
      <c r="F36">
        <v>245</v>
      </c>
      <c r="G36">
        <v>2940000</v>
      </c>
    </row>
    <row r="37" spans="1:7" x14ac:dyDescent="0.35">
      <c r="A37" t="s">
        <v>1077</v>
      </c>
      <c r="B37" s="2">
        <v>46168</v>
      </c>
      <c r="C37" t="s">
        <v>1052</v>
      </c>
      <c r="D37" t="s">
        <v>20</v>
      </c>
      <c r="E37" t="s">
        <v>32</v>
      </c>
      <c r="F37">
        <v>218</v>
      </c>
      <c r="G37">
        <v>109000</v>
      </c>
    </row>
    <row r="38" spans="1:7" x14ac:dyDescent="0.35">
      <c r="A38" t="s">
        <v>1078</v>
      </c>
      <c r="B38" s="2">
        <v>46163</v>
      </c>
      <c r="C38" t="s">
        <v>1038</v>
      </c>
      <c r="D38" t="s">
        <v>20</v>
      </c>
      <c r="E38" t="s">
        <v>43</v>
      </c>
      <c r="F38">
        <v>58</v>
      </c>
      <c r="G38">
        <v>145000</v>
      </c>
    </row>
    <row r="39" spans="1:7" x14ac:dyDescent="0.35">
      <c r="A39" t="s">
        <v>1079</v>
      </c>
      <c r="B39" s="2">
        <v>46182</v>
      </c>
      <c r="C39" t="s">
        <v>1041</v>
      </c>
      <c r="D39" t="s">
        <v>16</v>
      </c>
      <c r="E39" t="s">
        <v>55</v>
      </c>
      <c r="F39">
        <v>164</v>
      </c>
      <c r="G39">
        <v>1476000</v>
      </c>
    </row>
    <row r="40" spans="1:7" x14ac:dyDescent="0.35">
      <c r="A40" t="s">
        <v>1080</v>
      </c>
      <c r="B40" s="2">
        <v>46132</v>
      </c>
      <c r="C40" t="s">
        <v>1045</v>
      </c>
      <c r="D40" t="s">
        <v>35</v>
      </c>
      <c r="E40" t="s">
        <v>46</v>
      </c>
      <c r="F40">
        <v>64</v>
      </c>
      <c r="G40">
        <v>768000</v>
      </c>
    </row>
    <row r="41" spans="1:7" x14ac:dyDescent="0.35">
      <c r="A41" t="s">
        <v>1081</v>
      </c>
      <c r="B41" s="2">
        <v>46200</v>
      </c>
      <c r="C41" t="s">
        <v>1045</v>
      </c>
      <c r="D41" t="s">
        <v>11</v>
      </c>
      <c r="E41" t="s">
        <v>12</v>
      </c>
      <c r="F41">
        <v>110</v>
      </c>
      <c r="G41">
        <v>770000</v>
      </c>
    </row>
    <row r="42" spans="1:7" x14ac:dyDescent="0.35">
      <c r="A42" t="s">
        <v>1082</v>
      </c>
      <c r="B42" s="2">
        <v>46139</v>
      </c>
      <c r="C42" t="s">
        <v>1052</v>
      </c>
      <c r="D42" t="s">
        <v>35</v>
      </c>
      <c r="E42" t="s">
        <v>55</v>
      </c>
      <c r="F42">
        <v>257</v>
      </c>
      <c r="G42">
        <v>2313000</v>
      </c>
    </row>
    <row r="43" spans="1:7" x14ac:dyDescent="0.35">
      <c r="A43" t="s">
        <v>1083</v>
      </c>
      <c r="B43" s="2">
        <v>46150</v>
      </c>
      <c r="C43" t="s">
        <v>1045</v>
      </c>
      <c r="D43" t="s">
        <v>35</v>
      </c>
      <c r="E43" t="s">
        <v>43</v>
      </c>
      <c r="F43">
        <v>89</v>
      </c>
      <c r="G43">
        <v>222500</v>
      </c>
    </row>
    <row r="44" spans="1:7" x14ac:dyDescent="0.35">
      <c r="A44" t="s">
        <v>1084</v>
      </c>
      <c r="B44" s="2">
        <v>46184</v>
      </c>
      <c r="C44" t="s">
        <v>1045</v>
      </c>
      <c r="D44" t="s">
        <v>20</v>
      </c>
      <c r="E44" t="s">
        <v>17</v>
      </c>
      <c r="F44">
        <v>185</v>
      </c>
      <c r="G44">
        <v>333000</v>
      </c>
    </row>
    <row r="45" spans="1:7" x14ac:dyDescent="0.35">
      <c r="A45" t="s">
        <v>1085</v>
      </c>
      <c r="B45" s="2">
        <v>46177</v>
      </c>
      <c r="C45" t="s">
        <v>1043</v>
      </c>
      <c r="D45" t="s">
        <v>35</v>
      </c>
      <c r="E45" t="s">
        <v>24</v>
      </c>
      <c r="F45">
        <v>149</v>
      </c>
      <c r="G45">
        <v>6705000</v>
      </c>
    </row>
    <row r="46" spans="1:7" x14ac:dyDescent="0.35">
      <c r="A46" t="s">
        <v>1086</v>
      </c>
      <c r="B46" s="2">
        <v>46166</v>
      </c>
      <c r="C46" t="s">
        <v>1052</v>
      </c>
      <c r="D46" t="s">
        <v>16</v>
      </c>
      <c r="E46" t="s">
        <v>22</v>
      </c>
      <c r="F46">
        <v>233</v>
      </c>
      <c r="G46">
        <v>209700</v>
      </c>
    </row>
    <row r="47" spans="1:7" x14ac:dyDescent="0.35">
      <c r="A47" t="s">
        <v>1087</v>
      </c>
      <c r="B47" s="2">
        <v>46136</v>
      </c>
      <c r="C47" t="s">
        <v>1052</v>
      </c>
      <c r="D47" t="s">
        <v>20</v>
      </c>
      <c r="E47" t="s">
        <v>17</v>
      </c>
      <c r="F47">
        <v>108</v>
      </c>
      <c r="G47">
        <v>194400</v>
      </c>
    </row>
    <row r="48" spans="1:7" x14ac:dyDescent="0.35">
      <c r="A48" t="s">
        <v>1088</v>
      </c>
      <c r="B48" s="2">
        <v>46159</v>
      </c>
      <c r="C48" t="s">
        <v>1045</v>
      </c>
      <c r="D48" t="s">
        <v>35</v>
      </c>
      <c r="E48" t="s">
        <v>46</v>
      </c>
      <c r="F48">
        <v>271</v>
      </c>
      <c r="G48">
        <v>3252000</v>
      </c>
    </row>
    <row r="49" spans="1:7" x14ac:dyDescent="0.35">
      <c r="A49" t="s">
        <v>1089</v>
      </c>
      <c r="B49" s="2">
        <v>46183</v>
      </c>
      <c r="C49" t="s">
        <v>1045</v>
      </c>
      <c r="D49" t="s">
        <v>20</v>
      </c>
      <c r="E49" t="s">
        <v>32</v>
      </c>
      <c r="F49">
        <v>91</v>
      </c>
      <c r="G49">
        <v>45500</v>
      </c>
    </row>
    <row r="50" spans="1:7" x14ac:dyDescent="0.35">
      <c r="A50" t="s">
        <v>1090</v>
      </c>
      <c r="B50" s="2">
        <v>46195</v>
      </c>
      <c r="C50" t="s">
        <v>1045</v>
      </c>
      <c r="D50" t="s">
        <v>16</v>
      </c>
      <c r="E50" t="s">
        <v>24</v>
      </c>
      <c r="F50">
        <v>184</v>
      </c>
      <c r="G50">
        <v>8280000</v>
      </c>
    </row>
    <row r="51" spans="1:7" x14ac:dyDescent="0.35">
      <c r="A51" t="s">
        <v>1091</v>
      </c>
      <c r="B51" s="2">
        <v>46198</v>
      </c>
      <c r="C51" t="s">
        <v>1041</v>
      </c>
      <c r="D51" t="s">
        <v>16</v>
      </c>
      <c r="E51" t="s">
        <v>17</v>
      </c>
      <c r="F51">
        <v>68</v>
      </c>
      <c r="G51">
        <v>122400</v>
      </c>
    </row>
    <row r="52" spans="1:7" x14ac:dyDescent="0.35">
      <c r="A52" t="s">
        <v>1092</v>
      </c>
      <c r="B52" s="2">
        <v>46175</v>
      </c>
      <c r="C52" t="s">
        <v>1038</v>
      </c>
      <c r="D52" t="s">
        <v>35</v>
      </c>
      <c r="E52" t="s">
        <v>46</v>
      </c>
      <c r="F52">
        <v>71</v>
      </c>
      <c r="G52">
        <v>852000</v>
      </c>
    </row>
    <row r="53" spans="1:7" x14ac:dyDescent="0.35">
      <c r="A53" t="s">
        <v>1093</v>
      </c>
      <c r="B53" s="2">
        <v>46169</v>
      </c>
      <c r="C53" t="s">
        <v>1041</v>
      </c>
      <c r="D53" t="s">
        <v>20</v>
      </c>
      <c r="E53" t="s">
        <v>24</v>
      </c>
      <c r="F53">
        <v>297</v>
      </c>
      <c r="G53">
        <v>13365000</v>
      </c>
    </row>
    <row r="54" spans="1:7" x14ac:dyDescent="0.35">
      <c r="A54" t="s">
        <v>1094</v>
      </c>
      <c r="B54" s="2">
        <v>46167</v>
      </c>
      <c r="C54" t="s">
        <v>1052</v>
      </c>
      <c r="D54" t="s">
        <v>35</v>
      </c>
      <c r="E54" t="s">
        <v>17</v>
      </c>
      <c r="F54">
        <v>133</v>
      </c>
      <c r="G54">
        <v>239400</v>
      </c>
    </row>
    <row r="55" spans="1:7" x14ac:dyDescent="0.35">
      <c r="A55" t="s">
        <v>1095</v>
      </c>
      <c r="B55" s="2">
        <v>46172</v>
      </c>
      <c r="C55" t="s">
        <v>1043</v>
      </c>
      <c r="D55" t="s">
        <v>35</v>
      </c>
      <c r="E55" t="s">
        <v>32</v>
      </c>
      <c r="F55">
        <v>258</v>
      </c>
      <c r="G55">
        <v>129000</v>
      </c>
    </row>
    <row r="56" spans="1:7" x14ac:dyDescent="0.35">
      <c r="A56" t="s">
        <v>1096</v>
      </c>
      <c r="B56" s="2">
        <v>46174</v>
      </c>
      <c r="C56" t="s">
        <v>1038</v>
      </c>
      <c r="D56" t="s">
        <v>20</v>
      </c>
      <c r="E56" t="s">
        <v>46</v>
      </c>
      <c r="F56">
        <v>152</v>
      </c>
      <c r="G56">
        <v>1824000</v>
      </c>
    </row>
    <row r="57" spans="1:7" x14ac:dyDescent="0.35">
      <c r="A57" t="s">
        <v>1097</v>
      </c>
      <c r="B57" s="2">
        <v>46142</v>
      </c>
      <c r="C57" t="s">
        <v>1043</v>
      </c>
      <c r="D57" t="s">
        <v>35</v>
      </c>
      <c r="E57" t="s">
        <v>43</v>
      </c>
      <c r="F57">
        <v>293</v>
      </c>
      <c r="G57">
        <v>732500</v>
      </c>
    </row>
    <row r="58" spans="1:7" x14ac:dyDescent="0.35">
      <c r="A58" t="s">
        <v>1098</v>
      </c>
      <c r="B58" s="2">
        <v>46134</v>
      </c>
      <c r="C58" t="s">
        <v>1052</v>
      </c>
      <c r="D58" t="s">
        <v>16</v>
      </c>
      <c r="E58" t="s">
        <v>43</v>
      </c>
      <c r="F58">
        <v>185</v>
      </c>
      <c r="G58">
        <v>462500</v>
      </c>
    </row>
    <row r="59" spans="1:7" x14ac:dyDescent="0.35">
      <c r="A59" t="s">
        <v>1099</v>
      </c>
      <c r="B59" s="2">
        <v>46187</v>
      </c>
      <c r="C59" t="s">
        <v>1052</v>
      </c>
      <c r="D59" t="s">
        <v>20</v>
      </c>
      <c r="E59" t="s">
        <v>32</v>
      </c>
      <c r="F59">
        <v>262</v>
      </c>
      <c r="G59">
        <v>131000</v>
      </c>
    </row>
    <row r="60" spans="1:7" x14ac:dyDescent="0.35">
      <c r="A60" t="s">
        <v>1100</v>
      </c>
      <c r="B60" s="2">
        <v>46196</v>
      </c>
      <c r="C60" t="s">
        <v>1043</v>
      </c>
      <c r="D60" t="s">
        <v>20</v>
      </c>
      <c r="E60" t="s">
        <v>55</v>
      </c>
      <c r="F60">
        <v>157</v>
      </c>
      <c r="G60">
        <v>1413000</v>
      </c>
    </row>
    <row r="61" spans="1:7" x14ac:dyDescent="0.35">
      <c r="A61" t="s">
        <v>1101</v>
      </c>
      <c r="B61" s="2">
        <v>46141</v>
      </c>
      <c r="C61" t="s">
        <v>1043</v>
      </c>
      <c r="D61" t="s">
        <v>20</v>
      </c>
      <c r="E61" t="s">
        <v>32</v>
      </c>
      <c r="F61">
        <v>98</v>
      </c>
      <c r="G61">
        <v>49000</v>
      </c>
    </row>
    <row r="62" spans="1:7" x14ac:dyDescent="0.35">
      <c r="A62" t="s">
        <v>1102</v>
      </c>
      <c r="B62" s="2">
        <v>46153</v>
      </c>
      <c r="C62" t="s">
        <v>1043</v>
      </c>
      <c r="D62" t="s">
        <v>20</v>
      </c>
      <c r="E62" t="s">
        <v>55</v>
      </c>
      <c r="F62">
        <v>189</v>
      </c>
      <c r="G62">
        <v>1701000</v>
      </c>
    </row>
    <row r="63" spans="1:7" x14ac:dyDescent="0.35">
      <c r="A63" t="s">
        <v>1103</v>
      </c>
      <c r="B63" s="2">
        <v>46154</v>
      </c>
      <c r="C63" t="s">
        <v>1052</v>
      </c>
      <c r="D63" t="s">
        <v>35</v>
      </c>
      <c r="E63" t="s">
        <v>46</v>
      </c>
      <c r="F63">
        <v>142</v>
      </c>
      <c r="G63">
        <v>1704000</v>
      </c>
    </row>
    <row r="64" spans="1:7" x14ac:dyDescent="0.35">
      <c r="A64" t="s">
        <v>1104</v>
      </c>
      <c r="B64" s="2">
        <v>46177</v>
      </c>
      <c r="C64" t="s">
        <v>1045</v>
      </c>
      <c r="D64" t="s">
        <v>35</v>
      </c>
      <c r="E64" t="s">
        <v>17</v>
      </c>
      <c r="F64">
        <v>195</v>
      </c>
      <c r="G64">
        <v>351000</v>
      </c>
    </row>
    <row r="65" spans="1:7" x14ac:dyDescent="0.35">
      <c r="A65" t="s">
        <v>1105</v>
      </c>
      <c r="B65" s="2">
        <v>46143</v>
      </c>
      <c r="C65" t="s">
        <v>1043</v>
      </c>
      <c r="D65" t="s">
        <v>16</v>
      </c>
      <c r="E65" t="s">
        <v>55</v>
      </c>
      <c r="F65">
        <v>101</v>
      </c>
      <c r="G65">
        <v>909000</v>
      </c>
    </row>
    <row r="66" spans="1:7" x14ac:dyDescent="0.35">
      <c r="A66" t="s">
        <v>1106</v>
      </c>
      <c r="B66" s="2">
        <v>46142</v>
      </c>
      <c r="C66" t="s">
        <v>1038</v>
      </c>
      <c r="D66" t="s">
        <v>11</v>
      </c>
      <c r="E66" t="s">
        <v>46</v>
      </c>
      <c r="F66">
        <v>106</v>
      </c>
      <c r="G66">
        <v>1272000</v>
      </c>
    </row>
    <row r="67" spans="1:7" x14ac:dyDescent="0.35">
      <c r="A67" t="s">
        <v>1107</v>
      </c>
      <c r="B67" s="2">
        <v>46130</v>
      </c>
      <c r="C67" t="s">
        <v>1052</v>
      </c>
      <c r="D67" t="s">
        <v>11</v>
      </c>
      <c r="E67" t="s">
        <v>46</v>
      </c>
      <c r="F67">
        <v>244</v>
      </c>
      <c r="G67">
        <v>2928000</v>
      </c>
    </row>
    <row r="68" spans="1:7" x14ac:dyDescent="0.35">
      <c r="A68" t="s">
        <v>1108</v>
      </c>
      <c r="B68" s="2">
        <v>46129</v>
      </c>
      <c r="C68" t="s">
        <v>1041</v>
      </c>
      <c r="D68" t="s">
        <v>16</v>
      </c>
      <c r="E68" t="s">
        <v>12</v>
      </c>
      <c r="F68">
        <v>35</v>
      </c>
      <c r="G68">
        <v>245000</v>
      </c>
    </row>
    <row r="69" spans="1:7" x14ac:dyDescent="0.35">
      <c r="A69" t="s">
        <v>1109</v>
      </c>
      <c r="B69" s="2">
        <v>46150</v>
      </c>
      <c r="C69" t="s">
        <v>1041</v>
      </c>
      <c r="D69" t="s">
        <v>11</v>
      </c>
      <c r="E69" t="s">
        <v>22</v>
      </c>
      <c r="F69">
        <v>182</v>
      </c>
      <c r="G69">
        <v>163800</v>
      </c>
    </row>
    <row r="70" spans="1:7" x14ac:dyDescent="0.35">
      <c r="A70" t="s">
        <v>1110</v>
      </c>
      <c r="B70" s="2">
        <v>46126</v>
      </c>
      <c r="C70" t="s">
        <v>1038</v>
      </c>
      <c r="D70" t="s">
        <v>16</v>
      </c>
      <c r="E70" t="s">
        <v>46</v>
      </c>
      <c r="F70">
        <v>117</v>
      </c>
      <c r="G70">
        <v>1404000</v>
      </c>
    </row>
    <row r="71" spans="1:7" x14ac:dyDescent="0.35">
      <c r="A71" t="s">
        <v>1111</v>
      </c>
      <c r="B71" s="2">
        <v>46199</v>
      </c>
      <c r="C71" t="s">
        <v>1045</v>
      </c>
      <c r="D71" t="s">
        <v>35</v>
      </c>
      <c r="E71" t="s">
        <v>55</v>
      </c>
      <c r="F71">
        <v>175</v>
      </c>
      <c r="G71">
        <v>1575000</v>
      </c>
    </row>
    <row r="72" spans="1:7" x14ac:dyDescent="0.35">
      <c r="A72" t="s">
        <v>1112</v>
      </c>
      <c r="B72" s="2">
        <v>46201</v>
      </c>
      <c r="C72" t="s">
        <v>1043</v>
      </c>
      <c r="D72" t="s">
        <v>20</v>
      </c>
      <c r="E72" t="s">
        <v>22</v>
      </c>
      <c r="F72">
        <v>21</v>
      </c>
      <c r="G72">
        <v>18900</v>
      </c>
    </row>
    <row r="73" spans="1:7" x14ac:dyDescent="0.35">
      <c r="A73" t="s">
        <v>1113</v>
      </c>
      <c r="B73" s="2">
        <v>46191</v>
      </c>
      <c r="C73" t="s">
        <v>1052</v>
      </c>
      <c r="D73" t="s">
        <v>20</v>
      </c>
      <c r="E73" t="s">
        <v>22</v>
      </c>
      <c r="F73">
        <v>188</v>
      </c>
      <c r="G73">
        <v>169200</v>
      </c>
    </row>
    <row r="74" spans="1:7" x14ac:dyDescent="0.35">
      <c r="A74" t="s">
        <v>1114</v>
      </c>
      <c r="B74" s="2">
        <v>46168</v>
      </c>
      <c r="C74" t="s">
        <v>1043</v>
      </c>
      <c r="D74" t="s">
        <v>35</v>
      </c>
      <c r="E74" t="s">
        <v>46</v>
      </c>
      <c r="F74">
        <v>111</v>
      </c>
      <c r="G74">
        <v>1332000</v>
      </c>
    </row>
    <row r="75" spans="1:7" x14ac:dyDescent="0.35">
      <c r="A75" t="s">
        <v>1115</v>
      </c>
      <c r="B75" s="2">
        <v>46134</v>
      </c>
      <c r="C75" t="s">
        <v>1052</v>
      </c>
      <c r="D75" t="s">
        <v>20</v>
      </c>
      <c r="E75" t="s">
        <v>32</v>
      </c>
      <c r="F75">
        <v>200</v>
      </c>
      <c r="G75">
        <v>100000</v>
      </c>
    </row>
    <row r="76" spans="1:7" x14ac:dyDescent="0.35">
      <c r="A76" t="s">
        <v>1116</v>
      </c>
      <c r="B76" s="2">
        <v>46179</v>
      </c>
      <c r="C76" t="s">
        <v>1041</v>
      </c>
      <c r="D76" t="s">
        <v>20</v>
      </c>
      <c r="E76" t="s">
        <v>32</v>
      </c>
      <c r="F76">
        <v>250</v>
      </c>
      <c r="G76">
        <v>125000</v>
      </c>
    </row>
    <row r="77" spans="1:7" x14ac:dyDescent="0.35">
      <c r="A77" t="s">
        <v>1117</v>
      </c>
      <c r="B77" s="2">
        <v>46168</v>
      </c>
      <c r="C77" t="s">
        <v>1043</v>
      </c>
      <c r="D77" t="s">
        <v>11</v>
      </c>
      <c r="E77" t="s">
        <v>43</v>
      </c>
      <c r="F77">
        <v>167</v>
      </c>
      <c r="G77">
        <v>417500</v>
      </c>
    </row>
    <row r="78" spans="1:7" x14ac:dyDescent="0.35">
      <c r="A78" t="s">
        <v>1118</v>
      </c>
      <c r="B78" s="2">
        <v>46131</v>
      </c>
      <c r="C78" t="s">
        <v>1038</v>
      </c>
      <c r="D78" t="s">
        <v>35</v>
      </c>
      <c r="E78" t="s">
        <v>22</v>
      </c>
      <c r="F78">
        <v>299</v>
      </c>
      <c r="G78">
        <v>269100</v>
      </c>
    </row>
    <row r="79" spans="1:7" x14ac:dyDescent="0.35">
      <c r="A79" t="s">
        <v>1119</v>
      </c>
      <c r="B79" s="2">
        <v>46169</v>
      </c>
      <c r="C79" t="s">
        <v>1045</v>
      </c>
      <c r="D79" t="s">
        <v>11</v>
      </c>
      <c r="E79" t="s">
        <v>46</v>
      </c>
      <c r="F79">
        <v>208</v>
      </c>
      <c r="G79">
        <v>2496000</v>
      </c>
    </row>
    <row r="80" spans="1:7" x14ac:dyDescent="0.35">
      <c r="A80" t="s">
        <v>1120</v>
      </c>
      <c r="B80" s="2">
        <v>46156</v>
      </c>
      <c r="C80" t="s">
        <v>1038</v>
      </c>
      <c r="D80" t="s">
        <v>11</v>
      </c>
      <c r="E80" t="s">
        <v>12</v>
      </c>
      <c r="F80">
        <v>147</v>
      </c>
      <c r="G80">
        <v>1029000</v>
      </c>
    </row>
    <row r="81" spans="1:7" x14ac:dyDescent="0.35">
      <c r="A81" t="s">
        <v>1121</v>
      </c>
      <c r="B81" s="2">
        <v>46147</v>
      </c>
      <c r="C81" t="s">
        <v>1045</v>
      </c>
      <c r="D81" t="s">
        <v>20</v>
      </c>
      <c r="E81" t="s">
        <v>32</v>
      </c>
      <c r="F81">
        <v>26</v>
      </c>
      <c r="G81">
        <v>13000</v>
      </c>
    </row>
    <row r="82" spans="1:7" x14ac:dyDescent="0.35">
      <c r="A82" t="s">
        <v>1122</v>
      </c>
      <c r="B82" s="2">
        <v>46113</v>
      </c>
      <c r="C82" t="s">
        <v>1043</v>
      </c>
      <c r="D82" t="s">
        <v>20</v>
      </c>
      <c r="E82" t="s">
        <v>12</v>
      </c>
      <c r="F82">
        <v>66</v>
      </c>
      <c r="G82">
        <v>462000</v>
      </c>
    </row>
    <row r="83" spans="1:7" x14ac:dyDescent="0.35">
      <c r="A83" t="s">
        <v>1123</v>
      </c>
      <c r="B83" s="2">
        <v>46164</v>
      </c>
      <c r="C83" t="s">
        <v>1043</v>
      </c>
      <c r="D83" t="s">
        <v>35</v>
      </c>
      <c r="E83" t="s">
        <v>46</v>
      </c>
      <c r="F83">
        <v>72</v>
      </c>
      <c r="G83">
        <v>864000</v>
      </c>
    </row>
    <row r="84" spans="1:7" x14ac:dyDescent="0.35">
      <c r="A84" t="s">
        <v>1124</v>
      </c>
      <c r="B84" s="2">
        <v>46197</v>
      </c>
      <c r="C84" t="s">
        <v>1045</v>
      </c>
      <c r="D84" t="s">
        <v>20</v>
      </c>
      <c r="E84" t="s">
        <v>46</v>
      </c>
      <c r="F84">
        <v>206</v>
      </c>
      <c r="G84">
        <v>2472000</v>
      </c>
    </row>
    <row r="85" spans="1:7" x14ac:dyDescent="0.35">
      <c r="A85" t="s">
        <v>1125</v>
      </c>
      <c r="B85" s="2">
        <v>46182</v>
      </c>
      <c r="C85" t="s">
        <v>1041</v>
      </c>
      <c r="D85" t="s">
        <v>20</v>
      </c>
      <c r="E85" t="s">
        <v>17</v>
      </c>
      <c r="F85">
        <v>57</v>
      </c>
      <c r="G85">
        <v>102600</v>
      </c>
    </row>
    <row r="86" spans="1:7" x14ac:dyDescent="0.35">
      <c r="A86" t="s">
        <v>1126</v>
      </c>
      <c r="B86" s="2">
        <v>46149</v>
      </c>
      <c r="C86" t="s">
        <v>1052</v>
      </c>
      <c r="D86" t="s">
        <v>35</v>
      </c>
      <c r="E86" t="s">
        <v>22</v>
      </c>
      <c r="F86">
        <v>245</v>
      </c>
      <c r="G86">
        <v>220500</v>
      </c>
    </row>
    <row r="87" spans="1:7" x14ac:dyDescent="0.35">
      <c r="A87" t="s">
        <v>1127</v>
      </c>
      <c r="B87" s="2">
        <v>46177</v>
      </c>
      <c r="C87" t="s">
        <v>1038</v>
      </c>
      <c r="D87" t="s">
        <v>20</v>
      </c>
      <c r="E87" t="s">
        <v>17</v>
      </c>
      <c r="F87">
        <v>72</v>
      </c>
      <c r="G87">
        <v>129600</v>
      </c>
    </row>
    <row r="88" spans="1:7" x14ac:dyDescent="0.35">
      <c r="A88" t="s">
        <v>1128</v>
      </c>
      <c r="B88" s="2">
        <v>46163</v>
      </c>
      <c r="C88" t="s">
        <v>1038</v>
      </c>
      <c r="D88" t="s">
        <v>11</v>
      </c>
      <c r="E88" t="s">
        <v>12</v>
      </c>
      <c r="F88">
        <v>243</v>
      </c>
      <c r="G88">
        <v>1701000</v>
      </c>
    </row>
    <row r="89" spans="1:7" x14ac:dyDescent="0.35">
      <c r="A89" t="s">
        <v>1129</v>
      </c>
      <c r="B89" s="2">
        <v>46113</v>
      </c>
      <c r="C89" t="s">
        <v>1038</v>
      </c>
      <c r="D89" t="s">
        <v>35</v>
      </c>
      <c r="E89" t="s">
        <v>17</v>
      </c>
      <c r="F89">
        <v>173</v>
      </c>
      <c r="G89">
        <v>311400</v>
      </c>
    </row>
    <row r="90" spans="1:7" x14ac:dyDescent="0.35">
      <c r="A90" t="s">
        <v>1130</v>
      </c>
      <c r="B90" s="2">
        <v>46203</v>
      </c>
      <c r="C90" t="s">
        <v>1043</v>
      </c>
      <c r="D90" t="s">
        <v>20</v>
      </c>
      <c r="E90" t="s">
        <v>43</v>
      </c>
      <c r="F90">
        <v>67</v>
      </c>
      <c r="G90">
        <v>167500</v>
      </c>
    </row>
    <row r="91" spans="1:7" x14ac:dyDescent="0.35">
      <c r="A91" t="s">
        <v>1131</v>
      </c>
      <c r="B91" s="2">
        <v>46133</v>
      </c>
      <c r="C91" t="s">
        <v>1038</v>
      </c>
      <c r="D91" t="s">
        <v>16</v>
      </c>
      <c r="E91" t="s">
        <v>22</v>
      </c>
      <c r="F91">
        <v>166</v>
      </c>
      <c r="G91">
        <v>149400</v>
      </c>
    </row>
    <row r="92" spans="1:7" x14ac:dyDescent="0.35">
      <c r="A92" t="s">
        <v>1132</v>
      </c>
      <c r="B92" s="2">
        <v>46165</v>
      </c>
      <c r="C92" t="s">
        <v>1052</v>
      </c>
      <c r="D92" t="s">
        <v>35</v>
      </c>
      <c r="E92" t="s">
        <v>24</v>
      </c>
      <c r="F92">
        <v>83</v>
      </c>
      <c r="G92">
        <v>3735000</v>
      </c>
    </row>
    <row r="93" spans="1:7" x14ac:dyDescent="0.35">
      <c r="A93" t="s">
        <v>1133</v>
      </c>
      <c r="B93" s="2">
        <v>46128</v>
      </c>
      <c r="C93" t="s">
        <v>1052</v>
      </c>
      <c r="D93" t="s">
        <v>35</v>
      </c>
      <c r="E93" t="s">
        <v>17</v>
      </c>
      <c r="F93">
        <v>201</v>
      </c>
      <c r="G93">
        <v>361800</v>
      </c>
    </row>
    <row r="94" spans="1:7" x14ac:dyDescent="0.35">
      <c r="A94" t="s">
        <v>1134</v>
      </c>
      <c r="B94" s="2">
        <v>46173</v>
      </c>
      <c r="C94" t="s">
        <v>1045</v>
      </c>
      <c r="D94" t="s">
        <v>16</v>
      </c>
      <c r="E94" t="s">
        <v>12</v>
      </c>
      <c r="F94">
        <v>144</v>
      </c>
      <c r="G94">
        <v>1008000</v>
      </c>
    </row>
    <row r="95" spans="1:7" x14ac:dyDescent="0.35">
      <c r="A95" t="s">
        <v>1135</v>
      </c>
      <c r="B95" s="2">
        <v>46166</v>
      </c>
      <c r="C95" t="s">
        <v>1043</v>
      </c>
      <c r="D95" t="s">
        <v>20</v>
      </c>
      <c r="E95" t="s">
        <v>32</v>
      </c>
      <c r="F95">
        <v>198</v>
      </c>
      <c r="G95">
        <v>99000</v>
      </c>
    </row>
    <row r="96" spans="1:7" x14ac:dyDescent="0.35">
      <c r="A96" t="s">
        <v>1136</v>
      </c>
      <c r="B96" s="2">
        <v>46152</v>
      </c>
      <c r="C96" t="s">
        <v>1052</v>
      </c>
      <c r="D96" t="s">
        <v>20</v>
      </c>
      <c r="E96" t="s">
        <v>32</v>
      </c>
      <c r="F96">
        <v>58</v>
      </c>
      <c r="G96">
        <v>29000</v>
      </c>
    </row>
    <row r="97" spans="1:7" x14ac:dyDescent="0.35">
      <c r="A97" t="s">
        <v>1137</v>
      </c>
      <c r="B97" s="2">
        <v>46138</v>
      </c>
      <c r="C97" t="s">
        <v>1041</v>
      </c>
      <c r="D97" t="s">
        <v>35</v>
      </c>
      <c r="E97" t="s">
        <v>32</v>
      </c>
      <c r="F97">
        <v>279</v>
      </c>
      <c r="G97">
        <v>139500</v>
      </c>
    </row>
    <row r="98" spans="1:7" x14ac:dyDescent="0.35">
      <c r="A98" t="s">
        <v>1138</v>
      </c>
      <c r="B98" s="2">
        <v>46192</v>
      </c>
      <c r="C98" t="s">
        <v>1043</v>
      </c>
      <c r="D98" t="s">
        <v>35</v>
      </c>
      <c r="E98" t="s">
        <v>55</v>
      </c>
      <c r="F98">
        <v>22</v>
      </c>
      <c r="G98">
        <v>198000</v>
      </c>
    </row>
    <row r="99" spans="1:7" x14ac:dyDescent="0.35">
      <c r="A99" t="s">
        <v>1139</v>
      </c>
      <c r="B99" s="2">
        <v>46177</v>
      </c>
      <c r="C99" t="s">
        <v>1043</v>
      </c>
      <c r="D99" t="s">
        <v>20</v>
      </c>
      <c r="E99" t="s">
        <v>46</v>
      </c>
      <c r="F99">
        <v>83</v>
      </c>
      <c r="G99">
        <v>996000</v>
      </c>
    </row>
    <row r="100" spans="1:7" x14ac:dyDescent="0.35">
      <c r="A100" t="s">
        <v>1140</v>
      </c>
      <c r="B100" s="2">
        <v>46186</v>
      </c>
      <c r="C100" t="s">
        <v>1052</v>
      </c>
      <c r="D100" t="s">
        <v>20</v>
      </c>
      <c r="E100" t="s">
        <v>22</v>
      </c>
      <c r="F100">
        <v>48</v>
      </c>
      <c r="G100">
        <v>43200</v>
      </c>
    </row>
    <row r="101" spans="1:7" x14ac:dyDescent="0.35">
      <c r="A101" t="s">
        <v>1141</v>
      </c>
      <c r="B101" s="2">
        <v>46176</v>
      </c>
      <c r="C101" t="s">
        <v>1041</v>
      </c>
      <c r="D101" t="s">
        <v>11</v>
      </c>
      <c r="E101" t="s">
        <v>32</v>
      </c>
      <c r="F101">
        <v>30</v>
      </c>
      <c r="G101">
        <v>15000</v>
      </c>
    </row>
    <row r="102" spans="1:7" x14ac:dyDescent="0.35">
      <c r="A102" t="s">
        <v>1142</v>
      </c>
      <c r="B102" s="2">
        <v>46155</v>
      </c>
      <c r="C102" t="s">
        <v>1045</v>
      </c>
      <c r="D102" t="s">
        <v>35</v>
      </c>
      <c r="E102" t="s">
        <v>24</v>
      </c>
      <c r="F102">
        <v>116</v>
      </c>
      <c r="G102">
        <v>5220000</v>
      </c>
    </row>
    <row r="103" spans="1:7" x14ac:dyDescent="0.35">
      <c r="A103" t="s">
        <v>1143</v>
      </c>
      <c r="B103" s="2">
        <v>46129</v>
      </c>
      <c r="C103" t="s">
        <v>1052</v>
      </c>
      <c r="D103" t="s">
        <v>35</v>
      </c>
      <c r="E103" t="s">
        <v>32</v>
      </c>
      <c r="F103">
        <v>222</v>
      </c>
      <c r="G103">
        <v>111000</v>
      </c>
    </row>
    <row r="104" spans="1:7" x14ac:dyDescent="0.35">
      <c r="A104" t="s">
        <v>1144</v>
      </c>
      <c r="B104" s="2">
        <v>46171</v>
      </c>
      <c r="C104" t="s">
        <v>1041</v>
      </c>
      <c r="D104" t="s">
        <v>16</v>
      </c>
      <c r="E104" t="s">
        <v>43</v>
      </c>
      <c r="F104">
        <v>40</v>
      </c>
      <c r="G104">
        <v>100000</v>
      </c>
    </row>
    <row r="105" spans="1:7" x14ac:dyDescent="0.35">
      <c r="A105" t="s">
        <v>1145</v>
      </c>
      <c r="B105" s="2">
        <v>46135</v>
      </c>
      <c r="C105" t="s">
        <v>1043</v>
      </c>
      <c r="D105" t="s">
        <v>11</v>
      </c>
      <c r="E105" t="s">
        <v>46</v>
      </c>
      <c r="F105">
        <v>58</v>
      </c>
      <c r="G105">
        <v>696000</v>
      </c>
    </row>
    <row r="106" spans="1:7" x14ac:dyDescent="0.35">
      <c r="A106" t="s">
        <v>1146</v>
      </c>
      <c r="B106" s="2">
        <v>46119</v>
      </c>
      <c r="C106" t="s">
        <v>1041</v>
      </c>
      <c r="D106" t="s">
        <v>20</v>
      </c>
      <c r="E106" t="s">
        <v>12</v>
      </c>
      <c r="F106">
        <v>242</v>
      </c>
      <c r="G106">
        <v>1694000</v>
      </c>
    </row>
    <row r="107" spans="1:7" x14ac:dyDescent="0.35">
      <c r="A107" t="s">
        <v>1147</v>
      </c>
      <c r="B107" s="2">
        <v>46156</v>
      </c>
      <c r="C107" t="s">
        <v>1043</v>
      </c>
      <c r="D107" t="s">
        <v>11</v>
      </c>
      <c r="E107" t="s">
        <v>46</v>
      </c>
      <c r="F107">
        <v>121</v>
      </c>
      <c r="G107">
        <v>1452000</v>
      </c>
    </row>
    <row r="108" spans="1:7" x14ac:dyDescent="0.35">
      <c r="A108" t="s">
        <v>1148</v>
      </c>
      <c r="B108" s="2">
        <v>46165</v>
      </c>
      <c r="C108" t="s">
        <v>1052</v>
      </c>
      <c r="D108" t="s">
        <v>20</v>
      </c>
      <c r="E108" t="s">
        <v>17</v>
      </c>
      <c r="F108">
        <v>65</v>
      </c>
      <c r="G108">
        <v>117000</v>
      </c>
    </row>
    <row r="109" spans="1:7" x14ac:dyDescent="0.35">
      <c r="A109" t="s">
        <v>1149</v>
      </c>
      <c r="B109" s="2">
        <v>46183</v>
      </c>
      <c r="C109" t="s">
        <v>1052</v>
      </c>
      <c r="D109" t="s">
        <v>20</v>
      </c>
      <c r="E109" t="s">
        <v>12</v>
      </c>
      <c r="F109">
        <v>85</v>
      </c>
      <c r="G109">
        <v>595000</v>
      </c>
    </row>
    <row r="110" spans="1:7" x14ac:dyDescent="0.35">
      <c r="A110" t="s">
        <v>1150</v>
      </c>
      <c r="B110" s="2">
        <v>46191</v>
      </c>
      <c r="C110" t="s">
        <v>1038</v>
      </c>
      <c r="D110" t="s">
        <v>11</v>
      </c>
      <c r="E110" t="s">
        <v>12</v>
      </c>
      <c r="F110">
        <v>110</v>
      </c>
      <c r="G110">
        <v>770000</v>
      </c>
    </row>
    <row r="111" spans="1:7" x14ac:dyDescent="0.35">
      <c r="A111" t="s">
        <v>1151</v>
      </c>
      <c r="B111" s="2">
        <v>46146</v>
      </c>
      <c r="C111" t="s">
        <v>1038</v>
      </c>
      <c r="D111" t="s">
        <v>35</v>
      </c>
      <c r="E111" t="s">
        <v>17</v>
      </c>
      <c r="F111">
        <v>183</v>
      </c>
      <c r="G111">
        <v>329400</v>
      </c>
    </row>
    <row r="112" spans="1:7" x14ac:dyDescent="0.35">
      <c r="A112" t="s">
        <v>1152</v>
      </c>
      <c r="B112" s="2">
        <v>46158</v>
      </c>
      <c r="C112" t="s">
        <v>1038</v>
      </c>
      <c r="D112" t="s">
        <v>20</v>
      </c>
      <c r="E112" t="s">
        <v>22</v>
      </c>
      <c r="F112">
        <v>130</v>
      </c>
      <c r="G112">
        <v>117000</v>
      </c>
    </row>
    <row r="113" spans="1:7" x14ac:dyDescent="0.35">
      <c r="A113" t="s">
        <v>1153</v>
      </c>
      <c r="B113" s="2">
        <v>46180</v>
      </c>
      <c r="C113" t="s">
        <v>1052</v>
      </c>
      <c r="D113" t="s">
        <v>11</v>
      </c>
      <c r="E113" t="s">
        <v>17</v>
      </c>
      <c r="F113">
        <v>142</v>
      </c>
      <c r="G113">
        <v>255600</v>
      </c>
    </row>
    <row r="114" spans="1:7" x14ac:dyDescent="0.35">
      <c r="A114" t="s">
        <v>1154</v>
      </c>
      <c r="B114" s="2">
        <v>46190</v>
      </c>
      <c r="C114" t="s">
        <v>1045</v>
      </c>
      <c r="D114" t="s">
        <v>16</v>
      </c>
      <c r="E114" t="s">
        <v>55</v>
      </c>
      <c r="F114">
        <v>212</v>
      </c>
      <c r="G114">
        <v>1908000</v>
      </c>
    </row>
    <row r="115" spans="1:7" x14ac:dyDescent="0.35">
      <c r="A115" t="s">
        <v>1155</v>
      </c>
      <c r="B115" s="2">
        <v>46190</v>
      </c>
      <c r="C115" t="s">
        <v>1052</v>
      </c>
      <c r="D115" t="s">
        <v>11</v>
      </c>
      <c r="E115" t="s">
        <v>12</v>
      </c>
      <c r="F115">
        <v>118</v>
      </c>
      <c r="G115">
        <v>826000</v>
      </c>
    </row>
    <row r="116" spans="1:7" x14ac:dyDescent="0.35">
      <c r="A116" t="s">
        <v>1156</v>
      </c>
      <c r="B116" s="2">
        <v>46128</v>
      </c>
      <c r="C116" t="s">
        <v>1041</v>
      </c>
      <c r="D116" t="s">
        <v>16</v>
      </c>
      <c r="E116" t="s">
        <v>12</v>
      </c>
      <c r="F116">
        <v>178</v>
      </c>
      <c r="G116">
        <v>1246000</v>
      </c>
    </row>
    <row r="117" spans="1:7" x14ac:dyDescent="0.35">
      <c r="A117" t="s">
        <v>1157</v>
      </c>
      <c r="B117" s="2">
        <v>46183</v>
      </c>
      <c r="C117" t="s">
        <v>1052</v>
      </c>
      <c r="D117" t="s">
        <v>20</v>
      </c>
      <c r="E117" t="s">
        <v>17</v>
      </c>
      <c r="F117">
        <v>122</v>
      </c>
      <c r="G117">
        <v>219600</v>
      </c>
    </row>
    <row r="118" spans="1:7" x14ac:dyDescent="0.35">
      <c r="A118" t="s">
        <v>1158</v>
      </c>
      <c r="B118" s="2">
        <v>46131</v>
      </c>
      <c r="C118" t="s">
        <v>1052</v>
      </c>
      <c r="D118" t="s">
        <v>11</v>
      </c>
      <c r="E118" t="s">
        <v>22</v>
      </c>
      <c r="F118">
        <v>300</v>
      </c>
      <c r="G118">
        <v>270000</v>
      </c>
    </row>
    <row r="119" spans="1:7" x14ac:dyDescent="0.35">
      <c r="A119" t="s">
        <v>1159</v>
      </c>
      <c r="B119" s="2">
        <v>46114</v>
      </c>
      <c r="C119" t="s">
        <v>1043</v>
      </c>
      <c r="D119" t="s">
        <v>11</v>
      </c>
      <c r="E119" t="s">
        <v>32</v>
      </c>
      <c r="F119">
        <v>62</v>
      </c>
      <c r="G119">
        <v>31000</v>
      </c>
    </row>
    <row r="120" spans="1:7" x14ac:dyDescent="0.35">
      <c r="A120" t="s">
        <v>1160</v>
      </c>
      <c r="B120" s="2">
        <v>46122</v>
      </c>
      <c r="C120" t="s">
        <v>1043</v>
      </c>
      <c r="D120" t="s">
        <v>16</v>
      </c>
      <c r="E120" t="s">
        <v>43</v>
      </c>
      <c r="F120">
        <v>103</v>
      </c>
      <c r="G120">
        <v>257500</v>
      </c>
    </row>
    <row r="121" spans="1:7" x14ac:dyDescent="0.35">
      <c r="A121" t="s">
        <v>1161</v>
      </c>
      <c r="B121" s="2">
        <v>46162</v>
      </c>
      <c r="C121" t="s">
        <v>1043</v>
      </c>
      <c r="D121" t="s">
        <v>11</v>
      </c>
      <c r="E121" t="s">
        <v>24</v>
      </c>
      <c r="F121">
        <v>210</v>
      </c>
      <c r="G121">
        <v>9450000</v>
      </c>
    </row>
    <row r="122" spans="1:7" x14ac:dyDescent="0.35">
      <c r="A122" t="s">
        <v>1162</v>
      </c>
      <c r="B122" s="2">
        <v>46193</v>
      </c>
      <c r="C122" t="s">
        <v>1052</v>
      </c>
      <c r="D122" t="s">
        <v>11</v>
      </c>
      <c r="E122" t="s">
        <v>22</v>
      </c>
      <c r="F122">
        <v>70</v>
      </c>
      <c r="G122">
        <v>63000</v>
      </c>
    </row>
    <row r="123" spans="1:7" x14ac:dyDescent="0.35">
      <c r="A123" t="s">
        <v>1163</v>
      </c>
      <c r="B123" s="2">
        <v>46124</v>
      </c>
      <c r="C123" t="s">
        <v>1045</v>
      </c>
      <c r="D123" t="s">
        <v>20</v>
      </c>
      <c r="E123" t="s">
        <v>55</v>
      </c>
      <c r="F123">
        <v>229</v>
      </c>
      <c r="G123">
        <v>2061000</v>
      </c>
    </row>
    <row r="124" spans="1:7" x14ac:dyDescent="0.35">
      <c r="A124" t="s">
        <v>1164</v>
      </c>
      <c r="B124" s="2">
        <v>46182</v>
      </c>
      <c r="C124" t="s">
        <v>1041</v>
      </c>
      <c r="D124" t="s">
        <v>11</v>
      </c>
      <c r="E124" t="s">
        <v>22</v>
      </c>
      <c r="F124">
        <v>145</v>
      </c>
      <c r="G124">
        <v>130500</v>
      </c>
    </row>
    <row r="125" spans="1:7" x14ac:dyDescent="0.35">
      <c r="A125" t="s">
        <v>1165</v>
      </c>
      <c r="B125" s="2">
        <v>46134</v>
      </c>
      <c r="C125" t="s">
        <v>1041</v>
      </c>
      <c r="D125" t="s">
        <v>35</v>
      </c>
      <c r="E125" t="s">
        <v>46</v>
      </c>
      <c r="F125">
        <v>88</v>
      </c>
      <c r="G125">
        <v>1056000</v>
      </c>
    </row>
    <row r="126" spans="1:7" x14ac:dyDescent="0.35">
      <c r="A126" t="s">
        <v>1166</v>
      </c>
      <c r="B126" s="2">
        <v>46144</v>
      </c>
      <c r="C126" t="s">
        <v>1045</v>
      </c>
      <c r="D126" t="s">
        <v>16</v>
      </c>
      <c r="E126" t="s">
        <v>32</v>
      </c>
      <c r="F126">
        <v>284</v>
      </c>
      <c r="G126">
        <v>142000</v>
      </c>
    </row>
    <row r="127" spans="1:7" x14ac:dyDescent="0.35">
      <c r="A127" t="s">
        <v>1167</v>
      </c>
      <c r="B127" s="2">
        <v>46196</v>
      </c>
      <c r="C127" t="s">
        <v>1045</v>
      </c>
      <c r="D127" t="s">
        <v>11</v>
      </c>
      <c r="E127" t="s">
        <v>32</v>
      </c>
      <c r="F127">
        <v>277</v>
      </c>
      <c r="G127">
        <v>138500</v>
      </c>
    </row>
    <row r="128" spans="1:7" x14ac:dyDescent="0.35">
      <c r="A128" t="s">
        <v>1168</v>
      </c>
      <c r="B128" s="2">
        <v>46113</v>
      </c>
      <c r="C128" t="s">
        <v>1041</v>
      </c>
      <c r="D128" t="s">
        <v>16</v>
      </c>
      <c r="E128" t="s">
        <v>12</v>
      </c>
      <c r="F128">
        <v>207</v>
      </c>
      <c r="G128">
        <v>1449000</v>
      </c>
    </row>
    <row r="129" spans="1:7" x14ac:dyDescent="0.35">
      <c r="A129" t="s">
        <v>1169</v>
      </c>
      <c r="B129" s="2">
        <v>46166</v>
      </c>
      <c r="C129" t="s">
        <v>1038</v>
      </c>
      <c r="D129" t="s">
        <v>16</v>
      </c>
      <c r="E129" t="s">
        <v>32</v>
      </c>
      <c r="F129">
        <v>249</v>
      </c>
      <c r="G129">
        <v>124500</v>
      </c>
    </row>
    <row r="130" spans="1:7" x14ac:dyDescent="0.35">
      <c r="A130" t="s">
        <v>1170</v>
      </c>
      <c r="B130" s="2">
        <v>46170</v>
      </c>
      <c r="C130" t="s">
        <v>1043</v>
      </c>
      <c r="D130" t="s">
        <v>16</v>
      </c>
      <c r="E130" t="s">
        <v>32</v>
      </c>
      <c r="F130">
        <v>208</v>
      </c>
      <c r="G130">
        <v>104000</v>
      </c>
    </row>
    <row r="131" spans="1:7" x14ac:dyDescent="0.35">
      <c r="A131" t="s">
        <v>1171</v>
      </c>
      <c r="B131" s="2">
        <v>46182</v>
      </c>
      <c r="C131" t="s">
        <v>1043</v>
      </c>
      <c r="D131" t="s">
        <v>11</v>
      </c>
      <c r="E131" t="s">
        <v>17</v>
      </c>
      <c r="F131">
        <v>29</v>
      </c>
      <c r="G131">
        <v>52200</v>
      </c>
    </row>
    <row r="132" spans="1:7" x14ac:dyDescent="0.35">
      <c r="A132" t="s">
        <v>1172</v>
      </c>
      <c r="B132" s="2">
        <v>46195</v>
      </c>
      <c r="C132" t="s">
        <v>1041</v>
      </c>
      <c r="D132" t="s">
        <v>11</v>
      </c>
      <c r="E132" t="s">
        <v>32</v>
      </c>
      <c r="F132">
        <v>133</v>
      </c>
      <c r="G132">
        <v>66500</v>
      </c>
    </row>
    <row r="133" spans="1:7" x14ac:dyDescent="0.35">
      <c r="A133" t="s">
        <v>1173</v>
      </c>
      <c r="B133" s="2">
        <v>46130</v>
      </c>
      <c r="C133" t="s">
        <v>1045</v>
      </c>
      <c r="D133" t="s">
        <v>16</v>
      </c>
      <c r="E133" t="s">
        <v>32</v>
      </c>
      <c r="F133">
        <v>95</v>
      </c>
      <c r="G133">
        <v>47500</v>
      </c>
    </row>
    <row r="134" spans="1:7" x14ac:dyDescent="0.35">
      <c r="A134" t="s">
        <v>1174</v>
      </c>
      <c r="B134" s="2">
        <v>46118</v>
      </c>
      <c r="C134" t="s">
        <v>1038</v>
      </c>
      <c r="D134" t="s">
        <v>35</v>
      </c>
      <c r="E134" t="s">
        <v>24</v>
      </c>
      <c r="F134">
        <v>183</v>
      </c>
      <c r="G134">
        <v>8235000</v>
      </c>
    </row>
    <row r="135" spans="1:7" x14ac:dyDescent="0.35">
      <c r="A135" t="s">
        <v>1175</v>
      </c>
      <c r="B135" s="2">
        <v>46157</v>
      </c>
      <c r="C135" t="s">
        <v>1041</v>
      </c>
      <c r="D135" t="s">
        <v>16</v>
      </c>
      <c r="E135" t="s">
        <v>55</v>
      </c>
      <c r="F135">
        <v>104</v>
      </c>
      <c r="G135">
        <v>936000</v>
      </c>
    </row>
    <row r="136" spans="1:7" x14ac:dyDescent="0.35">
      <c r="A136" t="s">
        <v>1176</v>
      </c>
      <c r="B136" s="2">
        <v>46135</v>
      </c>
      <c r="C136" t="s">
        <v>1043</v>
      </c>
      <c r="D136" t="s">
        <v>35</v>
      </c>
      <c r="E136" t="s">
        <v>12</v>
      </c>
      <c r="F136">
        <v>68</v>
      </c>
      <c r="G136">
        <v>476000</v>
      </c>
    </row>
    <row r="137" spans="1:7" x14ac:dyDescent="0.35">
      <c r="A137" t="s">
        <v>1177</v>
      </c>
      <c r="B137" s="2">
        <v>46135</v>
      </c>
      <c r="C137" t="s">
        <v>1052</v>
      </c>
      <c r="D137" t="s">
        <v>16</v>
      </c>
      <c r="E137" t="s">
        <v>17</v>
      </c>
      <c r="F137">
        <v>196</v>
      </c>
      <c r="G137">
        <v>352800</v>
      </c>
    </row>
    <row r="138" spans="1:7" x14ac:dyDescent="0.35">
      <c r="A138" t="s">
        <v>1178</v>
      </c>
      <c r="B138" s="2">
        <v>46138</v>
      </c>
      <c r="C138" t="s">
        <v>1045</v>
      </c>
      <c r="D138" t="s">
        <v>20</v>
      </c>
      <c r="E138" t="s">
        <v>32</v>
      </c>
      <c r="F138">
        <v>237</v>
      </c>
      <c r="G138">
        <v>118500</v>
      </c>
    </row>
    <row r="139" spans="1:7" x14ac:dyDescent="0.35">
      <c r="A139" t="s">
        <v>1179</v>
      </c>
      <c r="B139" s="2">
        <v>46189</v>
      </c>
      <c r="C139" t="s">
        <v>1052</v>
      </c>
      <c r="D139" t="s">
        <v>16</v>
      </c>
      <c r="E139" t="s">
        <v>12</v>
      </c>
      <c r="F139">
        <v>208</v>
      </c>
      <c r="G139">
        <v>1456000</v>
      </c>
    </row>
    <row r="140" spans="1:7" x14ac:dyDescent="0.35">
      <c r="A140" t="s">
        <v>1180</v>
      </c>
      <c r="B140" s="2">
        <v>46119</v>
      </c>
      <c r="C140" t="s">
        <v>1041</v>
      </c>
      <c r="D140" t="s">
        <v>16</v>
      </c>
      <c r="E140" t="s">
        <v>55</v>
      </c>
      <c r="F140">
        <v>249</v>
      </c>
      <c r="G140">
        <v>2241000</v>
      </c>
    </row>
    <row r="141" spans="1:7" x14ac:dyDescent="0.35">
      <c r="A141" t="s">
        <v>1181</v>
      </c>
      <c r="B141" s="2">
        <v>46191</v>
      </c>
      <c r="C141" t="s">
        <v>1043</v>
      </c>
      <c r="D141" t="s">
        <v>11</v>
      </c>
      <c r="E141" t="s">
        <v>17</v>
      </c>
      <c r="F141">
        <v>274</v>
      </c>
      <c r="G141">
        <v>493200</v>
      </c>
    </row>
    <row r="142" spans="1:7" x14ac:dyDescent="0.35">
      <c r="A142" t="s">
        <v>1182</v>
      </c>
      <c r="B142" s="2">
        <v>46156</v>
      </c>
      <c r="C142" t="s">
        <v>1038</v>
      </c>
      <c r="D142" t="s">
        <v>35</v>
      </c>
      <c r="E142" t="s">
        <v>43</v>
      </c>
      <c r="F142">
        <v>255</v>
      </c>
      <c r="G142">
        <v>637500</v>
      </c>
    </row>
    <row r="143" spans="1:7" x14ac:dyDescent="0.35">
      <c r="A143" t="s">
        <v>1183</v>
      </c>
      <c r="B143" s="2">
        <v>46139</v>
      </c>
      <c r="C143" t="s">
        <v>1052</v>
      </c>
      <c r="D143" t="s">
        <v>20</v>
      </c>
      <c r="E143" t="s">
        <v>32</v>
      </c>
      <c r="F143">
        <v>45</v>
      </c>
      <c r="G143">
        <v>22500</v>
      </c>
    </row>
    <row r="144" spans="1:7" x14ac:dyDescent="0.35">
      <c r="A144" t="s">
        <v>1184</v>
      </c>
      <c r="B144" s="2">
        <v>46138</v>
      </c>
      <c r="C144" t="s">
        <v>1038</v>
      </c>
      <c r="D144" t="s">
        <v>35</v>
      </c>
      <c r="E144" t="s">
        <v>12</v>
      </c>
      <c r="F144">
        <v>91</v>
      </c>
      <c r="G144">
        <v>637000</v>
      </c>
    </row>
    <row r="145" spans="1:7" x14ac:dyDescent="0.35">
      <c r="A145" t="s">
        <v>1185</v>
      </c>
      <c r="B145" s="2">
        <v>46191</v>
      </c>
      <c r="C145" t="s">
        <v>1043</v>
      </c>
      <c r="D145" t="s">
        <v>20</v>
      </c>
      <c r="E145" t="s">
        <v>22</v>
      </c>
      <c r="F145">
        <v>280</v>
      </c>
      <c r="G145">
        <v>252000</v>
      </c>
    </row>
    <row r="146" spans="1:7" x14ac:dyDescent="0.35">
      <c r="A146" t="s">
        <v>1186</v>
      </c>
      <c r="B146" s="2">
        <v>46148</v>
      </c>
      <c r="C146" t="s">
        <v>1052</v>
      </c>
      <c r="D146" t="s">
        <v>16</v>
      </c>
      <c r="E146" t="s">
        <v>17</v>
      </c>
      <c r="F146">
        <v>273</v>
      </c>
      <c r="G146">
        <v>491400</v>
      </c>
    </row>
    <row r="147" spans="1:7" x14ac:dyDescent="0.35">
      <c r="A147" t="s">
        <v>1187</v>
      </c>
      <c r="B147" s="2">
        <v>46167</v>
      </c>
      <c r="C147" t="s">
        <v>1038</v>
      </c>
      <c r="D147" t="s">
        <v>11</v>
      </c>
      <c r="E147" t="s">
        <v>17</v>
      </c>
      <c r="F147">
        <v>290</v>
      </c>
      <c r="G147">
        <v>522000</v>
      </c>
    </row>
    <row r="148" spans="1:7" x14ac:dyDescent="0.35">
      <c r="A148" t="s">
        <v>1188</v>
      </c>
      <c r="B148" s="2">
        <v>46176</v>
      </c>
      <c r="C148" t="s">
        <v>1038</v>
      </c>
      <c r="D148" t="s">
        <v>11</v>
      </c>
      <c r="E148" t="s">
        <v>12</v>
      </c>
      <c r="F148">
        <v>142</v>
      </c>
      <c r="G148">
        <v>994000</v>
      </c>
    </row>
    <row r="149" spans="1:7" x14ac:dyDescent="0.35">
      <c r="A149" t="s">
        <v>1189</v>
      </c>
      <c r="B149" s="2">
        <v>46203</v>
      </c>
      <c r="C149" t="s">
        <v>1052</v>
      </c>
      <c r="D149" t="s">
        <v>35</v>
      </c>
      <c r="E149" t="s">
        <v>32</v>
      </c>
      <c r="F149">
        <v>163</v>
      </c>
      <c r="G149">
        <v>81500</v>
      </c>
    </row>
    <row r="150" spans="1:7" x14ac:dyDescent="0.35">
      <c r="A150" t="s">
        <v>1190</v>
      </c>
      <c r="B150" s="2">
        <v>46169</v>
      </c>
      <c r="C150" t="s">
        <v>1043</v>
      </c>
      <c r="D150" t="s">
        <v>11</v>
      </c>
      <c r="E150" t="s">
        <v>46</v>
      </c>
      <c r="F150">
        <v>276</v>
      </c>
      <c r="G150">
        <v>3312000</v>
      </c>
    </row>
    <row r="151" spans="1:7" x14ac:dyDescent="0.35">
      <c r="A151" t="s">
        <v>1191</v>
      </c>
      <c r="B151" s="2">
        <v>46181</v>
      </c>
      <c r="C151" t="s">
        <v>1038</v>
      </c>
      <c r="D151" t="s">
        <v>35</v>
      </c>
      <c r="E151" t="s">
        <v>24</v>
      </c>
      <c r="F151">
        <v>163</v>
      </c>
      <c r="G151">
        <v>7335000</v>
      </c>
    </row>
    <row r="152" spans="1:7" x14ac:dyDescent="0.35">
      <c r="A152" t="s">
        <v>1192</v>
      </c>
      <c r="B152" s="2">
        <v>46173</v>
      </c>
      <c r="C152" t="s">
        <v>1041</v>
      </c>
      <c r="D152" t="s">
        <v>35</v>
      </c>
      <c r="E152" t="s">
        <v>22</v>
      </c>
      <c r="F152">
        <v>278</v>
      </c>
      <c r="G152">
        <v>250200</v>
      </c>
    </row>
    <row r="153" spans="1:7" x14ac:dyDescent="0.35">
      <c r="A153" t="s">
        <v>1193</v>
      </c>
      <c r="B153" s="2">
        <v>46114</v>
      </c>
      <c r="C153" t="s">
        <v>1052</v>
      </c>
      <c r="D153" t="s">
        <v>20</v>
      </c>
      <c r="E153" t="s">
        <v>22</v>
      </c>
      <c r="F153">
        <v>66</v>
      </c>
      <c r="G153">
        <v>59400</v>
      </c>
    </row>
    <row r="154" spans="1:7" x14ac:dyDescent="0.35">
      <c r="A154" t="s">
        <v>1194</v>
      </c>
      <c r="B154" s="2">
        <v>46167</v>
      </c>
      <c r="C154" t="s">
        <v>1045</v>
      </c>
      <c r="D154" t="s">
        <v>35</v>
      </c>
      <c r="E154" t="s">
        <v>46</v>
      </c>
      <c r="F154">
        <v>32</v>
      </c>
      <c r="G154">
        <v>384000</v>
      </c>
    </row>
    <row r="155" spans="1:7" x14ac:dyDescent="0.35">
      <c r="A155" t="s">
        <v>1195</v>
      </c>
      <c r="B155" s="2">
        <v>46192</v>
      </c>
      <c r="C155" t="s">
        <v>1045</v>
      </c>
      <c r="D155" t="s">
        <v>20</v>
      </c>
      <c r="E155" t="s">
        <v>32</v>
      </c>
      <c r="F155">
        <v>227</v>
      </c>
      <c r="G155">
        <v>113500</v>
      </c>
    </row>
    <row r="156" spans="1:7" x14ac:dyDescent="0.35">
      <c r="A156" t="s">
        <v>1196</v>
      </c>
      <c r="B156" s="2">
        <v>46199</v>
      </c>
      <c r="C156" t="s">
        <v>1043</v>
      </c>
      <c r="D156" t="s">
        <v>11</v>
      </c>
      <c r="E156" t="s">
        <v>17</v>
      </c>
      <c r="F156">
        <v>254</v>
      </c>
      <c r="G156">
        <v>457200</v>
      </c>
    </row>
    <row r="157" spans="1:7" x14ac:dyDescent="0.35">
      <c r="A157" t="s">
        <v>1197</v>
      </c>
      <c r="B157" s="2">
        <v>46150</v>
      </c>
      <c r="C157" t="s">
        <v>1041</v>
      </c>
      <c r="D157" t="s">
        <v>35</v>
      </c>
      <c r="E157" t="s">
        <v>17</v>
      </c>
      <c r="F157">
        <v>168</v>
      </c>
      <c r="G157">
        <v>302400</v>
      </c>
    </row>
    <row r="158" spans="1:7" x14ac:dyDescent="0.35">
      <c r="A158" t="s">
        <v>1198</v>
      </c>
      <c r="B158" s="2">
        <v>46192</v>
      </c>
      <c r="C158" t="s">
        <v>1038</v>
      </c>
      <c r="D158" t="s">
        <v>35</v>
      </c>
      <c r="E158" t="s">
        <v>24</v>
      </c>
      <c r="F158">
        <v>174</v>
      </c>
      <c r="G158">
        <v>7830000</v>
      </c>
    </row>
    <row r="159" spans="1:7" x14ac:dyDescent="0.35">
      <c r="A159" t="s">
        <v>1199</v>
      </c>
      <c r="B159" s="2">
        <v>46190</v>
      </c>
      <c r="C159" t="s">
        <v>1045</v>
      </c>
      <c r="D159" t="s">
        <v>16</v>
      </c>
      <c r="E159" t="s">
        <v>22</v>
      </c>
      <c r="F159">
        <v>185</v>
      </c>
      <c r="G159">
        <v>166500</v>
      </c>
    </row>
    <row r="160" spans="1:7" x14ac:dyDescent="0.35">
      <c r="A160" t="s">
        <v>1200</v>
      </c>
      <c r="B160" s="2">
        <v>46141</v>
      </c>
      <c r="C160" t="s">
        <v>1043</v>
      </c>
      <c r="D160" t="s">
        <v>35</v>
      </c>
      <c r="E160" t="s">
        <v>24</v>
      </c>
      <c r="F160">
        <v>109</v>
      </c>
      <c r="G160">
        <v>4905000</v>
      </c>
    </row>
    <row r="161" spans="1:7" x14ac:dyDescent="0.35">
      <c r="A161" t="s">
        <v>1201</v>
      </c>
      <c r="B161" s="2">
        <v>46138</v>
      </c>
      <c r="C161" t="s">
        <v>1041</v>
      </c>
      <c r="D161" t="s">
        <v>35</v>
      </c>
      <c r="E161" t="s">
        <v>22</v>
      </c>
      <c r="F161">
        <v>205</v>
      </c>
      <c r="G161">
        <v>184500</v>
      </c>
    </row>
    <row r="162" spans="1:7" x14ac:dyDescent="0.35">
      <c r="A162" t="s">
        <v>1202</v>
      </c>
      <c r="B162" s="2">
        <v>46147</v>
      </c>
      <c r="C162" t="s">
        <v>1041</v>
      </c>
      <c r="D162" t="s">
        <v>16</v>
      </c>
      <c r="E162" t="s">
        <v>32</v>
      </c>
      <c r="F162">
        <v>193</v>
      </c>
      <c r="G162">
        <v>96500</v>
      </c>
    </row>
    <row r="163" spans="1:7" x14ac:dyDescent="0.35">
      <c r="A163" t="s">
        <v>1203</v>
      </c>
      <c r="B163" s="2">
        <v>46191</v>
      </c>
      <c r="C163" t="s">
        <v>1043</v>
      </c>
      <c r="D163" t="s">
        <v>16</v>
      </c>
      <c r="E163" t="s">
        <v>43</v>
      </c>
      <c r="F163">
        <v>236</v>
      </c>
      <c r="G163">
        <v>590000</v>
      </c>
    </row>
    <row r="164" spans="1:7" x14ac:dyDescent="0.35">
      <c r="A164" t="s">
        <v>1204</v>
      </c>
      <c r="B164" s="2">
        <v>46179</v>
      </c>
      <c r="C164" t="s">
        <v>1043</v>
      </c>
      <c r="D164" t="s">
        <v>11</v>
      </c>
      <c r="E164" t="s">
        <v>22</v>
      </c>
      <c r="F164">
        <v>283</v>
      </c>
      <c r="G164">
        <v>254700</v>
      </c>
    </row>
    <row r="165" spans="1:7" x14ac:dyDescent="0.35">
      <c r="A165" t="s">
        <v>1205</v>
      </c>
      <c r="B165" s="2">
        <v>46199</v>
      </c>
      <c r="C165" t="s">
        <v>1038</v>
      </c>
      <c r="D165" t="s">
        <v>35</v>
      </c>
      <c r="E165" t="s">
        <v>43</v>
      </c>
      <c r="F165">
        <v>116</v>
      </c>
      <c r="G165">
        <v>290000</v>
      </c>
    </row>
    <row r="166" spans="1:7" x14ac:dyDescent="0.35">
      <c r="A166" t="s">
        <v>1206</v>
      </c>
      <c r="B166" s="2">
        <v>46141</v>
      </c>
      <c r="C166" t="s">
        <v>1043</v>
      </c>
      <c r="D166" t="s">
        <v>11</v>
      </c>
      <c r="E166" t="s">
        <v>22</v>
      </c>
      <c r="F166">
        <v>136</v>
      </c>
      <c r="G166">
        <v>122400</v>
      </c>
    </row>
    <row r="167" spans="1:7" x14ac:dyDescent="0.35">
      <c r="A167" t="s">
        <v>1207</v>
      </c>
      <c r="B167" s="2">
        <v>46146</v>
      </c>
      <c r="C167" t="s">
        <v>1038</v>
      </c>
      <c r="D167" t="s">
        <v>11</v>
      </c>
      <c r="E167" t="s">
        <v>17</v>
      </c>
      <c r="F167">
        <v>218</v>
      </c>
      <c r="G167">
        <v>392400</v>
      </c>
    </row>
    <row r="168" spans="1:7" x14ac:dyDescent="0.35">
      <c r="A168" t="s">
        <v>1208</v>
      </c>
      <c r="B168" s="2">
        <v>46153</v>
      </c>
      <c r="C168" t="s">
        <v>1038</v>
      </c>
      <c r="D168" t="s">
        <v>16</v>
      </c>
      <c r="E168" t="s">
        <v>55</v>
      </c>
      <c r="F168">
        <v>40</v>
      </c>
      <c r="G168">
        <v>360000</v>
      </c>
    </row>
    <row r="169" spans="1:7" x14ac:dyDescent="0.35">
      <c r="A169" t="s">
        <v>1209</v>
      </c>
      <c r="B169" s="2">
        <v>46153</v>
      </c>
      <c r="C169" t="s">
        <v>1052</v>
      </c>
      <c r="D169" t="s">
        <v>20</v>
      </c>
      <c r="E169" t="s">
        <v>32</v>
      </c>
      <c r="F169">
        <v>219</v>
      </c>
      <c r="G169">
        <v>109500</v>
      </c>
    </row>
    <row r="170" spans="1:7" x14ac:dyDescent="0.35">
      <c r="A170" t="s">
        <v>1210</v>
      </c>
      <c r="B170" s="2">
        <v>46135</v>
      </c>
      <c r="C170" t="s">
        <v>1041</v>
      </c>
      <c r="D170" t="s">
        <v>11</v>
      </c>
      <c r="E170" t="s">
        <v>46</v>
      </c>
      <c r="F170">
        <v>267</v>
      </c>
      <c r="G170">
        <v>3204000</v>
      </c>
    </row>
    <row r="171" spans="1:7" x14ac:dyDescent="0.35">
      <c r="A171" t="s">
        <v>1211</v>
      </c>
      <c r="B171" s="2">
        <v>46183</v>
      </c>
      <c r="C171" t="s">
        <v>1041</v>
      </c>
      <c r="D171" t="s">
        <v>20</v>
      </c>
      <c r="E171" t="s">
        <v>43</v>
      </c>
      <c r="F171">
        <v>295</v>
      </c>
      <c r="G171">
        <v>737500</v>
      </c>
    </row>
    <row r="172" spans="1:7" x14ac:dyDescent="0.35">
      <c r="A172" t="s">
        <v>1212</v>
      </c>
      <c r="B172" s="2">
        <v>46115</v>
      </c>
      <c r="C172" t="s">
        <v>1041</v>
      </c>
      <c r="D172" t="s">
        <v>35</v>
      </c>
      <c r="E172" t="s">
        <v>46</v>
      </c>
      <c r="F172">
        <v>283</v>
      </c>
      <c r="G172">
        <v>3396000</v>
      </c>
    </row>
    <row r="173" spans="1:7" x14ac:dyDescent="0.35">
      <c r="A173" t="s">
        <v>1213</v>
      </c>
      <c r="B173" s="2">
        <v>46170</v>
      </c>
      <c r="C173" t="s">
        <v>1052</v>
      </c>
      <c r="D173" t="s">
        <v>16</v>
      </c>
      <c r="E173" t="s">
        <v>32</v>
      </c>
      <c r="F173">
        <v>77</v>
      </c>
      <c r="G173">
        <v>38500</v>
      </c>
    </row>
    <row r="174" spans="1:7" x14ac:dyDescent="0.35">
      <c r="A174" t="s">
        <v>1214</v>
      </c>
      <c r="B174" s="2">
        <v>46144</v>
      </c>
      <c r="C174" t="s">
        <v>1038</v>
      </c>
      <c r="D174" t="s">
        <v>35</v>
      </c>
      <c r="E174" t="s">
        <v>12</v>
      </c>
      <c r="F174">
        <v>50</v>
      </c>
      <c r="G174">
        <v>350000</v>
      </c>
    </row>
    <row r="175" spans="1:7" x14ac:dyDescent="0.35">
      <c r="A175" t="s">
        <v>1215</v>
      </c>
      <c r="B175" s="2">
        <v>46143</v>
      </c>
      <c r="C175" t="s">
        <v>1038</v>
      </c>
      <c r="D175" t="s">
        <v>35</v>
      </c>
      <c r="E175" t="s">
        <v>46</v>
      </c>
      <c r="F175">
        <v>268</v>
      </c>
      <c r="G175">
        <v>3216000</v>
      </c>
    </row>
    <row r="176" spans="1:7" x14ac:dyDescent="0.35">
      <c r="A176" t="s">
        <v>1216</v>
      </c>
      <c r="B176" s="2">
        <v>46194</v>
      </c>
      <c r="C176" t="s">
        <v>1043</v>
      </c>
      <c r="D176" t="s">
        <v>16</v>
      </c>
      <c r="E176" t="s">
        <v>32</v>
      </c>
      <c r="F176">
        <v>112</v>
      </c>
      <c r="G176">
        <v>56000</v>
      </c>
    </row>
    <row r="177" spans="1:7" x14ac:dyDescent="0.35">
      <c r="A177" t="s">
        <v>1217</v>
      </c>
      <c r="B177" s="2">
        <v>46155</v>
      </c>
      <c r="C177" t="s">
        <v>1052</v>
      </c>
      <c r="D177" t="s">
        <v>35</v>
      </c>
      <c r="E177" t="s">
        <v>17</v>
      </c>
      <c r="F177">
        <v>284</v>
      </c>
      <c r="G177">
        <v>511200</v>
      </c>
    </row>
    <row r="178" spans="1:7" x14ac:dyDescent="0.35">
      <c r="A178" t="s">
        <v>1218</v>
      </c>
      <c r="B178" s="2">
        <v>46119</v>
      </c>
      <c r="C178" t="s">
        <v>1043</v>
      </c>
      <c r="D178" t="s">
        <v>16</v>
      </c>
      <c r="E178" t="s">
        <v>46</v>
      </c>
      <c r="F178">
        <v>290</v>
      </c>
      <c r="G178">
        <v>3480000</v>
      </c>
    </row>
    <row r="179" spans="1:7" x14ac:dyDescent="0.35">
      <c r="A179" t="s">
        <v>1219</v>
      </c>
      <c r="B179" s="2">
        <v>46113</v>
      </c>
      <c r="C179" t="s">
        <v>1052</v>
      </c>
      <c r="D179" t="s">
        <v>20</v>
      </c>
      <c r="E179" t="s">
        <v>43</v>
      </c>
      <c r="F179">
        <v>113</v>
      </c>
      <c r="G179">
        <v>282500</v>
      </c>
    </row>
    <row r="180" spans="1:7" x14ac:dyDescent="0.35">
      <c r="A180" t="s">
        <v>1220</v>
      </c>
      <c r="B180" s="2">
        <v>46173</v>
      </c>
      <c r="C180" t="s">
        <v>1043</v>
      </c>
      <c r="D180" t="s">
        <v>35</v>
      </c>
      <c r="E180" t="s">
        <v>55</v>
      </c>
      <c r="F180">
        <v>173</v>
      </c>
      <c r="G180">
        <v>1557000</v>
      </c>
    </row>
    <row r="181" spans="1:7" x14ac:dyDescent="0.35">
      <c r="A181" t="s">
        <v>1221</v>
      </c>
      <c r="B181" s="2">
        <v>46126</v>
      </c>
      <c r="C181" t="s">
        <v>1045</v>
      </c>
      <c r="D181" t="s">
        <v>16</v>
      </c>
      <c r="E181" t="s">
        <v>46</v>
      </c>
      <c r="F181">
        <v>99</v>
      </c>
      <c r="G181">
        <v>1188000</v>
      </c>
    </row>
    <row r="182" spans="1:7" x14ac:dyDescent="0.35">
      <c r="A182" t="s">
        <v>1222</v>
      </c>
      <c r="B182" s="2">
        <v>46164</v>
      </c>
      <c r="C182" t="s">
        <v>1041</v>
      </c>
      <c r="D182" t="s">
        <v>11</v>
      </c>
      <c r="E182" t="s">
        <v>43</v>
      </c>
      <c r="F182">
        <v>103</v>
      </c>
      <c r="G182">
        <v>257500</v>
      </c>
    </row>
    <row r="183" spans="1:7" x14ac:dyDescent="0.35">
      <c r="A183" t="s">
        <v>1223</v>
      </c>
      <c r="B183" s="2">
        <v>46118</v>
      </c>
      <c r="C183" t="s">
        <v>1041</v>
      </c>
      <c r="D183" t="s">
        <v>35</v>
      </c>
      <c r="E183" t="s">
        <v>22</v>
      </c>
      <c r="F183">
        <v>56</v>
      </c>
      <c r="G183">
        <v>50400</v>
      </c>
    </row>
    <row r="184" spans="1:7" x14ac:dyDescent="0.35">
      <c r="A184" t="s">
        <v>1224</v>
      </c>
      <c r="B184" s="2">
        <v>46122</v>
      </c>
      <c r="C184" t="s">
        <v>1038</v>
      </c>
      <c r="D184" t="s">
        <v>20</v>
      </c>
      <c r="E184" t="s">
        <v>32</v>
      </c>
      <c r="F184">
        <v>251</v>
      </c>
      <c r="G184">
        <v>125500</v>
      </c>
    </row>
    <row r="185" spans="1:7" x14ac:dyDescent="0.35">
      <c r="A185" t="s">
        <v>1225</v>
      </c>
      <c r="B185" s="2">
        <v>46183</v>
      </c>
      <c r="C185" t="s">
        <v>1045</v>
      </c>
      <c r="D185" t="s">
        <v>16</v>
      </c>
      <c r="E185" t="s">
        <v>24</v>
      </c>
      <c r="F185">
        <v>112</v>
      </c>
      <c r="G185">
        <v>5040000</v>
      </c>
    </row>
    <row r="186" spans="1:7" x14ac:dyDescent="0.35">
      <c r="A186" t="s">
        <v>1226</v>
      </c>
      <c r="B186" s="2">
        <v>46202</v>
      </c>
      <c r="C186" t="s">
        <v>1041</v>
      </c>
      <c r="D186" t="s">
        <v>35</v>
      </c>
      <c r="E186" t="s">
        <v>12</v>
      </c>
      <c r="F186">
        <v>121</v>
      </c>
      <c r="G186">
        <v>847000</v>
      </c>
    </row>
    <row r="187" spans="1:7" x14ac:dyDescent="0.35">
      <c r="A187" t="s">
        <v>1227</v>
      </c>
      <c r="B187" s="2">
        <v>46142</v>
      </c>
      <c r="C187" t="s">
        <v>1038</v>
      </c>
      <c r="D187" t="s">
        <v>35</v>
      </c>
      <c r="E187" t="s">
        <v>17</v>
      </c>
      <c r="F187">
        <v>185</v>
      </c>
      <c r="G187">
        <v>333000</v>
      </c>
    </row>
    <row r="188" spans="1:7" x14ac:dyDescent="0.35">
      <c r="A188" t="s">
        <v>1228</v>
      </c>
      <c r="B188" s="2">
        <v>46133</v>
      </c>
      <c r="C188" t="s">
        <v>1045</v>
      </c>
      <c r="D188" t="s">
        <v>35</v>
      </c>
      <c r="E188" t="s">
        <v>24</v>
      </c>
      <c r="F188">
        <v>178</v>
      </c>
      <c r="G188">
        <v>8010000</v>
      </c>
    </row>
    <row r="189" spans="1:7" x14ac:dyDescent="0.35">
      <c r="A189" t="s">
        <v>1229</v>
      </c>
      <c r="B189" s="2">
        <v>46172</v>
      </c>
      <c r="C189" t="s">
        <v>1041</v>
      </c>
      <c r="D189" t="s">
        <v>20</v>
      </c>
      <c r="E189" t="s">
        <v>17</v>
      </c>
      <c r="F189">
        <v>33</v>
      </c>
      <c r="G189">
        <v>59400</v>
      </c>
    </row>
    <row r="190" spans="1:7" x14ac:dyDescent="0.35">
      <c r="A190" t="s">
        <v>1230</v>
      </c>
      <c r="B190" s="2">
        <v>46193</v>
      </c>
      <c r="C190" t="s">
        <v>1043</v>
      </c>
      <c r="D190" t="s">
        <v>16</v>
      </c>
      <c r="E190" t="s">
        <v>32</v>
      </c>
      <c r="F190">
        <v>244</v>
      </c>
      <c r="G190">
        <v>122000</v>
      </c>
    </row>
    <row r="191" spans="1:7" x14ac:dyDescent="0.35">
      <c r="A191" t="s">
        <v>1231</v>
      </c>
      <c r="B191" s="2">
        <v>46186</v>
      </c>
      <c r="C191" t="s">
        <v>1052</v>
      </c>
      <c r="D191" t="s">
        <v>11</v>
      </c>
      <c r="E191" t="s">
        <v>17</v>
      </c>
      <c r="F191">
        <v>92</v>
      </c>
      <c r="G191">
        <v>165600</v>
      </c>
    </row>
    <row r="192" spans="1:7" x14ac:dyDescent="0.35">
      <c r="A192" t="s">
        <v>1232</v>
      </c>
      <c r="B192" s="2">
        <v>46175</v>
      </c>
      <c r="C192" t="s">
        <v>1045</v>
      </c>
      <c r="D192" t="s">
        <v>11</v>
      </c>
      <c r="E192" t="s">
        <v>55</v>
      </c>
      <c r="F192">
        <v>268</v>
      </c>
      <c r="G192">
        <v>2412000</v>
      </c>
    </row>
    <row r="193" spans="1:7" x14ac:dyDescent="0.35">
      <c r="A193" t="s">
        <v>1233</v>
      </c>
      <c r="B193" s="2">
        <v>46154</v>
      </c>
      <c r="C193" t="s">
        <v>1038</v>
      </c>
      <c r="D193" t="s">
        <v>11</v>
      </c>
      <c r="E193" t="s">
        <v>46</v>
      </c>
      <c r="F193">
        <v>110</v>
      </c>
      <c r="G193">
        <v>1320000</v>
      </c>
    </row>
    <row r="194" spans="1:7" x14ac:dyDescent="0.35">
      <c r="A194" t="s">
        <v>1234</v>
      </c>
      <c r="B194" s="2">
        <v>46163</v>
      </c>
      <c r="C194" t="s">
        <v>1045</v>
      </c>
      <c r="D194" t="s">
        <v>16</v>
      </c>
      <c r="E194" t="s">
        <v>55</v>
      </c>
      <c r="F194">
        <v>235</v>
      </c>
      <c r="G194">
        <v>2115000</v>
      </c>
    </row>
    <row r="195" spans="1:7" x14ac:dyDescent="0.35">
      <c r="A195" t="s">
        <v>1235</v>
      </c>
      <c r="B195" s="2">
        <v>46176</v>
      </c>
      <c r="C195" t="s">
        <v>1038</v>
      </c>
      <c r="D195" t="s">
        <v>11</v>
      </c>
      <c r="E195" t="s">
        <v>24</v>
      </c>
      <c r="F195">
        <v>109</v>
      </c>
      <c r="G195">
        <v>4905000</v>
      </c>
    </row>
    <row r="196" spans="1:7" x14ac:dyDescent="0.35">
      <c r="A196" t="s">
        <v>1236</v>
      </c>
      <c r="B196" s="2">
        <v>46188</v>
      </c>
      <c r="C196" t="s">
        <v>1045</v>
      </c>
      <c r="D196" t="s">
        <v>20</v>
      </c>
      <c r="E196" t="s">
        <v>12</v>
      </c>
      <c r="F196">
        <v>48</v>
      </c>
      <c r="G196">
        <v>336000</v>
      </c>
    </row>
    <row r="197" spans="1:7" x14ac:dyDescent="0.35">
      <c r="A197" t="s">
        <v>1237</v>
      </c>
      <c r="B197" s="2">
        <v>46168</v>
      </c>
      <c r="C197" t="s">
        <v>1038</v>
      </c>
      <c r="D197" t="s">
        <v>16</v>
      </c>
      <c r="E197" t="s">
        <v>43</v>
      </c>
      <c r="F197">
        <v>239</v>
      </c>
      <c r="G197">
        <v>597500</v>
      </c>
    </row>
    <row r="198" spans="1:7" x14ac:dyDescent="0.35">
      <c r="A198" t="s">
        <v>1238</v>
      </c>
      <c r="B198" s="2">
        <v>46192</v>
      </c>
      <c r="C198" t="s">
        <v>1041</v>
      </c>
      <c r="D198" t="s">
        <v>35</v>
      </c>
      <c r="E198" t="s">
        <v>12</v>
      </c>
      <c r="F198">
        <v>234</v>
      </c>
      <c r="G198">
        <v>1638000</v>
      </c>
    </row>
    <row r="199" spans="1:7" x14ac:dyDescent="0.35">
      <c r="A199" t="s">
        <v>1239</v>
      </c>
      <c r="B199" s="2">
        <v>46153</v>
      </c>
      <c r="C199" t="s">
        <v>1043</v>
      </c>
      <c r="D199" t="s">
        <v>20</v>
      </c>
      <c r="E199" t="s">
        <v>32</v>
      </c>
      <c r="F199">
        <v>240</v>
      </c>
      <c r="G199">
        <v>120000</v>
      </c>
    </row>
    <row r="200" spans="1:7" x14ac:dyDescent="0.35">
      <c r="A200" t="s">
        <v>1240</v>
      </c>
      <c r="B200" s="2">
        <v>46144</v>
      </c>
      <c r="C200" t="s">
        <v>1041</v>
      </c>
      <c r="D200" t="s">
        <v>35</v>
      </c>
      <c r="E200" t="s">
        <v>32</v>
      </c>
      <c r="F200">
        <v>61</v>
      </c>
      <c r="G200">
        <v>30500</v>
      </c>
    </row>
    <row r="201" spans="1:7" x14ac:dyDescent="0.35">
      <c r="A201" t="s">
        <v>1241</v>
      </c>
      <c r="B201" s="2">
        <v>46127</v>
      </c>
      <c r="C201" t="s">
        <v>1043</v>
      </c>
      <c r="D201" t="s">
        <v>11</v>
      </c>
      <c r="E201" t="s">
        <v>55</v>
      </c>
      <c r="F201">
        <v>154</v>
      </c>
      <c r="G201">
        <v>1386000</v>
      </c>
    </row>
    <row r="202" spans="1:7" x14ac:dyDescent="0.35">
      <c r="A202" t="s">
        <v>1242</v>
      </c>
      <c r="B202" s="2">
        <v>46174</v>
      </c>
      <c r="C202" t="s">
        <v>1041</v>
      </c>
      <c r="D202" t="s">
        <v>20</v>
      </c>
      <c r="E202" t="s">
        <v>43</v>
      </c>
      <c r="F202">
        <v>61</v>
      </c>
      <c r="G202">
        <v>152500</v>
      </c>
    </row>
    <row r="203" spans="1:7" x14ac:dyDescent="0.35">
      <c r="A203" t="s">
        <v>1243</v>
      </c>
      <c r="B203" s="2">
        <v>46139</v>
      </c>
      <c r="C203" t="s">
        <v>1041</v>
      </c>
      <c r="D203" t="s">
        <v>16</v>
      </c>
      <c r="E203" t="s">
        <v>55</v>
      </c>
      <c r="F203">
        <v>183</v>
      </c>
      <c r="G203">
        <v>1647000</v>
      </c>
    </row>
    <row r="204" spans="1:7" x14ac:dyDescent="0.35">
      <c r="A204" t="s">
        <v>1244</v>
      </c>
      <c r="B204" s="2">
        <v>46140</v>
      </c>
      <c r="C204" t="s">
        <v>1045</v>
      </c>
      <c r="D204" t="s">
        <v>20</v>
      </c>
      <c r="E204" t="s">
        <v>46</v>
      </c>
      <c r="F204">
        <v>77</v>
      </c>
      <c r="G204">
        <v>924000</v>
      </c>
    </row>
    <row r="205" spans="1:7" x14ac:dyDescent="0.35">
      <c r="A205" t="s">
        <v>1245</v>
      </c>
      <c r="B205" s="2">
        <v>46193</v>
      </c>
      <c r="C205" t="s">
        <v>1052</v>
      </c>
      <c r="D205" t="s">
        <v>35</v>
      </c>
      <c r="E205" t="s">
        <v>22</v>
      </c>
      <c r="F205">
        <v>44</v>
      </c>
      <c r="G205">
        <v>39600</v>
      </c>
    </row>
    <row r="206" spans="1:7" x14ac:dyDescent="0.35">
      <c r="A206" t="s">
        <v>1246</v>
      </c>
      <c r="B206" s="2">
        <v>46176</v>
      </c>
      <c r="C206" t="s">
        <v>1038</v>
      </c>
      <c r="D206" t="s">
        <v>16</v>
      </c>
      <c r="E206" t="s">
        <v>43</v>
      </c>
      <c r="F206">
        <v>92</v>
      </c>
      <c r="G206">
        <v>230000</v>
      </c>
    </row>
    <row r="207" spans="1:7" x14ac:dyDescent="0.35">
      <c r="A207" t="s">
        <v>1247</v>
      </c>
      <c r="B207" s="2">
        <v>46171</v>
      </c>
      <c r="C207" t="s">
        <v>1038</v>
      </c>
      <c r="D207" t="s">
        <v>20</v>
      </c>
      <c r="E207" t="s">
        <v>22</v>
      </c>
      <c r="F207">
        <v>148</v>
      </c>
      <c r="G207">
        <v>133200</v>
      </c>
    </row>
    <row r="208" spans="1:7" x14ac:dyDescent="0.35">
      <c r="A208" t="s">
        <v>1248</v>
      </c>
      <c r="B208" s="2">
        <v>46170</v>
      </c>
      <c r="C208" t="s">
        <v>1038</v>
      </c>
      <c r="D208" t="s">
        <v>20</v>
      </c>
      <c r="E208" t="s">
        <v>12</v>
      </c>
      <c r="F208">
        <v>106</v>
      </c>
      <c r="G208">
        <v>742000</v>
      </c>
    </row>
    <row r="209" spans="1:7" x14ac:dyDescent="0.35">
      <c r="A209" t="s">
        <v>1249</v>
      </c>
      <c r="B209" s="2">
        <v>46114</v>
      </c>
      <c r="C209" t="s">
        <v>1043</v>
      </c>
      <c r="D209" t="s">
        <v>20</v>
      </c>
      <c r="E209" t="s">
        <v>46</v>
      </c>
      <c r="F209">
        <v>172</v>
      </c>
      <c r="G209">
        <v>2064000</v>
      </c>
    </row>
    <row r="210" spans="1:7" x14ac:dyDescent="0.35">
      <c r="A210" t="s">
        <v>1250</v>
      </c>
      <c r="B210" s="2">
        <v>46148</v>
      </c>
      <c r="C210" t="s">
        <v>1038</v>
      </c>
      <c r="D210" t="s">
        <v>20</v>
      </c>
      <c r="E210" t="s">
        <v>17</v>
      </c>
      <c r="F210">
        <v>201</v>
      </c>
      <c r="G210">
        <v>361800</v>
      </c>
    </row>
    <row r="211" spans="1:7" x14ac:dyDescent="0.35">
      <c r="A211" t="s">
        <v>1251</v>
      </c>
      <c r="B211" s="2">
        <v>46183</v>
      </c>
      <c r="C211" t="s">
        <v>1038</v>
      </c>
      <c r="D211" t="s">
        <v>16</v>
      </c>
      <c r="E211" t="s">
        <v>17</v>
      </c>
      <c r="F211">
        <v>144</v>
      </c>
      <c r="G211">
        <v>259200</v>
      </c>
    </row>
    <row r="212" spans="1:7" x14ac:dyDescent="0.35">
      <c r="A212" t="s">
        <v>1252</v>
      </c>
      <c r="B212" s="2">
        <v>46125</v>
      </c>
      <c r="C212" t="s">
        <v>1045</v>
      </c>
      <c r="D212" t="s">
        <v>35</v>
      </c>
      <c r="E212" t="s">
        <v>22</v>
      </c>
      <c r="F212">
        <v>86</v>
      </c>
      <c r="G212">
        <v>77400</v>
      </c>
    </row>
    <row r="213" spans="1:7" x14ac:dyDescent="0.35">
      <c r="A213" t="s">
        <v>1253</v>
      </c>
      <c r="B213" s="2">
        <v>46127</v>
      </c>
      <c r="C213" t="s">
        <v>1041</v>
      </c>
      <c r="D213" t="s">
        <v>20</v>
      </c>
      <c r="E213" t="s">
        <v>24</v>
      </c>
      <c r="F213">
        <v>25</v>
      </c>
      <c r="G213">
        <v>1125000</v>
      </c>
    </row>
    <row r="214" spans="1:7" x14ac:dyDescent="0.35">
      <c r="A214" t="s">
        <v>1254</v>
      </c>
      <c r="B214" s="2">
        <v>46201</v>
      </c>
      <c r="C214" t="s">
        <v>1038</v>
      </c>
      <c r="D214" t="s">
        <v>16</v>
      </c>
      <c r="E214" t="s">
        <v>12</v>
      </c>
      <c r="F214">
        <v>144</v>
      </c>
      <c r="G214">
        <v>1008000</v>
      </c>
    </row>
    <row r="215" spans="1:7" x14ac:dyDescent="0.35">
      <c r="A215" t="s">
        <v>1255</v>
      </c>
      <c r="B215" s="2">
        <v>46199</v>
      </c>
      <c r="C215" t="s">
        <v>1052</v>
      </c>
      <c r="D215" t="s">
        <v>35</v>
      </c>
      <c r="E215" t="s">
        <v>22</v>
      </c>
      <c r="F215">
        <v>72</v>
      </c>
      <c r="G215">
        <v>64800</v>
      </c>
    </row>
    <row r="216" spans="1:7" x14ac:dyDescent="0.35">
      <c r="A216" t="s">
        <v>1256</v>
      </c>
      <c r="B216" s="2">
        <v>46172</v>
      </c>
      <c r="C216" t="s">
        <v>1038</v>
      </c>
      <c r="D216" t="s">
        <v>20</v>
      </c>
      <c r="E216" t="s">
        <v>46</v>
      </c>
      <c r="F216">
        <v>85</v>
      </c>
      <c r="G216">
        <v>1020000</v>
      </c>
    </row>
    <row r="217" spans="1:7" x14ac:dyDescent="0.35">
      <c r="A217" t="s">
        <v>1257</v>
      </c>
      <c r="B217" s="2">
        <v>46134</v>
      </c>
      <c r="C217" t="s">
        <v>1043</v>
      </c>
      <c r="D217" t="s">
        <v>35</v>
      </c>
      <c r="E217" t="s">
        <v>22</v>
      </c>
      <c r="F217">
        <v>101</v>
      </c>
      <c r="G217">
        <v>90900</v>
      </c>
    </row>
    <row r="218" spans="1:7" x14ac:dyDescent="0.35">
      <c r="A218" t="s">
        <v>1258</v>
      </c>
      <c r="B218" s="2">
        <v>46175</v>
      </c>
      <c r="C218" t="s">
        <v>1043</v>
      </c>
      <c r="D218" t="s">
        <v>35</v>
      </c>
      <c r="E218" t="s">
        <v>32</v>
      </c>
      <c r="F218">
        <v>106</v>
      </c>
      <c r="G218">
        <v>53000</v>
      </c>
    </row>
    <row r="219" spans="1:7" x14ac:dyDescent="0.35">
      <c r="A219" t="s">
        <v>1259</v>
      </c>
      <c r="B219" s="2">
        <v>46202</v>
      </c>
      <c r="C219" t="s">
        <v>1043</v>
      </c>
      <c r="D219" t="s">
        <v>16</v>
      </c>
      <c r="E219" t="s">
        <v>55</v>
      </c>
      <c r="F219">
        <v>21</v>
      </c>
      <c r="G219">
        <v>189000</v>
      </c>
    </row>
    <row r="220" spans="1:7" x14ac:dyDescent="0.35">
      <c r="A220" t="s">
        <v>1260</v>
      </c>
      <c r="B220" s="2">
        <v>46187</v>
      </c>
      <c r="C220" t="s">
        <v>1038</v>
      </c>
      <c r="D220" t="s">
        <v>35</v>
      </c>
      <c r="E220" t="s">
        <v>24</v>
      </c>
      <c r="F220">
        <v>223</v>
      </c>
      <c r="G220">
        <v>10035000</v>
      </c>
    </row>
    <row r="221" spans="1:7" x14ac:dyDescent="0.35">
      <c r="A221" t="s">
        <v>1261</v>
      </c>
      <c r="B221" s="2">
        <v>46186</v>
      </c>
      <c r="C221" t="s">
        <v>1045</v>
      </c>
      <c r="D221" t="s">
        <v>16</v>
      </c>
      <c r="E221" t="s">
        <v>32</v>
      </c>
      <c r="F221">
        <v>169</v>
      </c>
      <c r="G221">
        <v>84500</v>
      </c>
    </row>
    <row r="222" spans="1:7" x14ac:dyDescent="0.35">
      <c r="A222" t="s">
        <v>1262</v>
      </c>
      <c r="B222" s="2">
        <v>46137</v>
      </c>
      <c r="C222" t="s">
        <v>1052</v>
      </c>
      <c r="D222" t="s">
        <v>20</v>
      </c>
      <c r="E222" t="s">
        <v>32</v>
      </c>
      <c r="F222">
        <v>122</v>
      </c>
      <c r="G222">
        <v>61000</v>
      </c>
    </row>
    <row r="223" spans="1:7" x14ac:dyDescent="0.35">
      <c r="A223" t="s">
        <v>1263</v>
      </c>
      <c r="B223" s="2">
        <v>46160</v>
      </c>
      <c r="C223" t="s">
        <v>1038</v>
      </c>
      <c r="D223" t="s">
        <v>35</v>
      </c>
      <c r="E223" t="s">
        <v>46</v>
      </c>
      <c r="F223">
        <v>43</v>
      </c>
      <c r="G223">
        <v>516000</v>
      </c>
    </row>
    <row r="224" spans="1:7" x14ac:dyDescent="0.35">
      <c r="A224" t="s">
        <v>1264</v>
      </c>
      <c r="B224" s="2">
        <v>46155</v>
      </c>
      <c r="C224" t="s">
        <v>1045</v>
      </c>
      <c r="D224" t="s">
        <v>35</v>
      </c>
      <c r="E224" t="s">
        <v>55</v>
      </c>
      <c r="F224">
        <v>231</v>
      </c>
      <c r="G224">
        <v>2079000</v>
      </c>
    </row>
    <row r="225" spans="1:7" x14ac:dyDescent="0.35">
      <c r="A225" t="s">
        <v>1265</v>
      </c>
      <c r="B225" s="2">
        <v>46150</v>
      </c>
      <c r="C225" t="s">
        <v>1045</v>
      </c>
      <c r="D225" t="s">
        <v>11</v>
      </c>
      <c r="E225" t="s">
        <v>55</v>
      </c>
      <c r="F225">
        <v>84</v>
      </c>
      <c r="G225">
        <v>756000</v>
      </c>
    </row>
    <row r="226" spans="1:7" x14ac:dyDescent="0.35">
      <c r="A226" t="s">
        <v>1266</v>
      </c>
      <c r="B226" s="2">
        <v>46153</v>
      </c>
      <c r="C226" t="s">
        <v>1038</v>
      </c>
      <c r="D226" t="s">
        <v>20</v>
      </c>
      <c r="E226" t="s">
        <v>43</v>
      </c>
      <c r="F226">
        <v>228</v>
      </c>
      <c r="G226">
        <v>570000</v>
      </c>
    </row>
    <row r="227" spans="1:7" x14ac:dyDescent="0.35">
      <c r="A227" t="s">
        <v>1267</v>
      </c>
      <c r="B227" s="2">
        <v>46157</v>
      </c>
      <c r="C227" t="s">
        <v>1038</v>
      </c>
      <c r="D227" t="s">
        <v>20</v>
      </c>
      <c r="E227" t="s">
        <v>12</v>
      </c>
      <c r="F227">
        <v>270</v>
      </c>
      <c r="G227">
        <v>1890000</v>
      </c>
    </row>
    <row r="228" spans="1:7" x14ac:dyDescent="0.35">
      <c r="A228" t="s">
        <v>1268</v>
      </c>
      <c r="B228" s="2">
        <v>46200</v>
      </c>
      <c r="C228" t="s">
        <v>1045</v>
      </c>
      <c r="D228" t="s">
        <v>11</v>
      </c>
      <c r="E228" t="s">
        <v>24</v>
      </c>
      <c r="F228">
        <v>136</v>
      </c>
      <c r="G228">
        <v>6120000</v>
      </c>
    </row>
    <row r="229" spans="1:7" x14ac:dyDescent="0.35">
      <c r="A229" t="s">
        <v>1269</v>
      </c>
      <c r="B229" s="2">
        <v>46152</v>
      </c>
      <c r="C229" t="s">
        <v>1045</v>
      </c>
      <c r="D229" t="s">
        <v>11</v>
      </c>
      <c r="E229" t="s">
        <v>12</v>
      </c>
      <c r="F229">
        <v>135</v>
      </c>
      <c r="G229">
        <v>945000</v>
      </c>
    </row>
    <row r="230" spans="1:7" x14ac:dyDescent="0.35">
      <c r="A230" t="s">
        <v>1270</v>
      </c>
      <c r="B230" s="2">
        <v>46129</v>
      </c>
      <c r="C230" t="s">
        <v>1045</v>
      </c>
      <c r="D230" t="s">
        <v>16</v>
      </c>
      <c r="E230" t="s">
        <v>46</v>
      </c>
      <c r="F230">
        <v>256</v>
      </c>
      <c r="G230">
        <v>3072000</v>
      </c>
    </row>
    <row r="231" spans="1:7" x14ac:dyDescent="0.35">
      <c r="A231" t="s">
        <v>1271</v>
      </c>
      <c r="B231" s="2">
        <v>46200</v>
      </c>
      <c r="C231" t="s">
        <v>1038</v>
      </c>
      <c r="D231" t="s">
        <v>16</v>
      </c>
      <c r="E231" t="s">
        <v>24</v>
      </c>
      <c r="F231">
        <v>124</v>
      </c>
      <c r="G231">
        <v>5580000</v>
      </c>
    </row>
    <row r="232" spans="1:7" x14ac:dyDescent="0.35">
      <c r="A232" t="s">
        <v>1272</v>
      </c>
      <c r="B232" s="2">
        <v>46169</v>
      </c>
      <c r="C232" t="s">
        <v>1045</v>
      </c>
      <c r="D232" t="s">
        <v>35</v>
      </c>
      <c r="E232" t="s">
        <v>43</v>
      </c>
      <c r="F232">
        <v>278</v>
      </c>
      <c r="G232">
        <v>695000</v>
      </c>
    </row>
    <row r="233" spans="1:7" x14ac:dyDescent="0.35">
      <c r="A233" t="s">
        <v>1273</v>
      </c>
      <c r="B233" s="2">
        <v>46114</v>
      </c>
      <c r="C233" t="s">
        <v>1043</v>
      </c>
      <c r="D233" t="s">
        <v>35</v>
      </c>
      <c r="E233" t="s">
        <v>22</v>
      </c>
      <c r="F233">
        <v>65</v>
      </c>
      <c r="G233">
        <v>58500</v>
      </c>
    </row>
    <row r="234" spans="1:7" x14ac:dyDescent="0.35">
      <c r="A234" t="s">
        <v>1274</v>
      </c>
      <c r="B234" s="2">
        <v>46174</v>
      </c>
      <c r="C234" t="s">
        <v>1038</v>
      </c>
      <c r="D234" t="s">
        <v>35</v>
      </c>
      <c r="E234" t="s">
        <v>32</v>
      </c>
      <c r="F234">
        <v>235</v>
      </c>
      <c r="G234">
        <v>117500</v>
      </c>
    </row>
    <row r="235" spans="1:7" x14ac:dyDescent="0.35">
      <c r="A235" t="s">
        <v>1275</v>
      </c>
      <c r="B235" s="2">
        <v>46200</v>
      </c>
      <c r="C235" t="s">
        <v>1043</v>
      </c>
      <c r="D235" t="s">
        <v>35</v>
      </c>
      <c r="E235" t="s">
        <v>24</v>
      </c>
      <c r="F235">
        <v>43</v>
      </c>
      <c r="G235">
        <v>1935000</v>
      </c>
    </row>
    <row r="236" spans="1:7" x14ac:dyDescent="0.35">
      <c r="A236" t="s">
        <v>1276</v>
      </c>
      <c r="B236" s="2">
        <v>46121</v>
      </c>
      <c r="C236" t="s">
        <v>1041</v>
      </c>
      <c r="D236" t="s">
        <v>16</v>
      </c>
      <c r="E236" t="s">
        <v>12</v>
      </c>
      <c r="F236">
        <v>54</v>
      </c>
      <c r="G236">
        <v>378000</v>
      </c>
    </row>
    <row r="237" spans="1:7" x14ac:dyDescent="0.35">
      <c r="A237" t="s">
        <v>1277</v>
      </c>
      <c r="B237" s="2">
        <v>46180</v>
      </c>
      <c r="C237" t="s">
        <v>1038</v>
      </c>
      <c r="D237" t="s">
        <v>20</v>
      </c>
      <c r="E237" t="s">
        <v>32</v>
      </c>
      <c r="F237">
        <v>43</v>
      </c>
      <c r="G237">
        <v>21500</v>
      </c>
    </row>
    <row r="238" spans="1:7" x14ac:dyDescent="0.35">
      <c r="A238" t="s">
        <v>1278</v>
      </c>
      <c r="B238" s="2">
        <v>46193</v>
      </c>
      <c r="C238" t="s">
        <v>1041</v>
      </c>
      <c r="D238" t="s">
        <v>35</v>
      </c>
      <c r="E238" t="s">
        <v>46</v>
      </c>
      <c r="F238">
        <v>47</v>
      </c>
      <c r="G238">
        <v>564000</v>
      </c>
    </row>
    <row r="239" spans="1:7" x14ac:dyDescent="0.35">
      <c r="A239" t="s">
        <v>1279</v>
      </c>
      <c r="B239" s="2">
        <v>46129</v>
      </c>
      <c r="C239" t="s">
        <v>1045</v>
      </c>
      <c r="D239" t="s">
        <v>20</v>
      </c>
      <c r="E239" t="s">
        <v>12</v>
      </c>
      <c r="F239">
        <v>35</v>
      </c>
      <c r="G239">
        <v>245000</v>
      </c>
    </row>
    <row r="240" spans="1:7" x14ac:dyDescent="0.35">
      <c r="A240" t="s">
        <v>1280</v>
      </c>
      <c r="B240" s="2">
        <v>46162</v>
      </c>
      <c r="C240" t="s">
        <v>1045</v>
      </c>
      <c r="D240" t="s">
        <v>35</v>
      </c>
      <c r="E240" t="s">
        <v>22</v>
      </c>
      <c r="F240">
        <v>78</v>
      </c>
      <c r="G240">
        <v>70200</v>
      </c>
    </row>
    <row r="241" spans="1:7" x14ac:dyDescent="0.35">
      <c r="A241" t="s">
        <v>1281</v>
      </c>
      <c r="B241" s="2">
        <v>46152</v>
      </c>
      <c r="C241" t="s">
        <v>1052</v>
      </c>
      <c r="D241" t="s">
        <v>11</v>
      </c>
      <c r="E241" t="s">
        <v>46</v>
      </c>
      <c r="F241">
        <v>262</v>
      </c>
      <c r="G241">
        <v>3144000</v>
      </c>
    </row>
    <row r="242" spans="1:7" x14ac:dyDescent="0.35">
      <c r="A242" t="s">
        <v>1282</v>
      </c>
      <c r="B242" s="2">
        <v>46170</v>
      </c>
      <c r="C242" t="s">
        <v>1045</v>
      </c>
      <c r="D242" t="s">
        <v>35</v>
      </c>
      <c r="E242" t="s">
        <v>17</v>
      </c>
      <c r="F242">
        <v>226</v>
      </c>
      <c r="G242">
        <v>406800</v>
      </c>
    </row>
    <row r="243" spans="1:7" x14ac:dyDescent="0.35">
      <c r="A243" t="s">
        <v>1283</v>
      </c>
      <c r="B243" s="2">
        <v>46187</v>
      </c>
      <c r="C243" t="s">
        <v>1041</v>
      </c>
      <c r="D243" t="s">
        <v>35</v>
      </c>
      <c r="E243" t="s">
        <v>22</v>
      </c>
      <c r="F243">
        <v>290</v>
      </c>
      <c r="G243">
        <v>261000</v>
      </c>
    </row>
    <row r="244" spans="1:7" x14ac:dyDescent="0.35">
      <c r="A244" t="s">
        <v>1284</v>
      </c>
      <c r="B244" s="2">
        <v>46197</v>
      </c>
      <c r="C244" t="s">
        <v>1045</v>
      </c>
      <c r="D244" t="s">
        <v>35</v>
      </c>
      <c r="E244" t="s">
        <v>22</v>
      </c>
      <c r="F244">
        <v>268</v>
      </c>
      <c r="G244">
        <v>241200</v>
      </c>
    </row>
    <row r="245" spans="1:7" x14ac:dyDescent="0.35">
      <c r="A245" t="s">
        <v>1285</v>
      </c>
      <c r="B245" s="2">
        <v>46133</v>
      </c>
      <c r="C245" t="s">
        <v>1038</v>
      </c>
      <c r="D245" t="s">
        <v>16</v>
      </c>
      <c r="E245" t="s">
        <v>32</v>
      </c>
      <c r="F245">
        <v>286</v>
      </c>
      <c r="G245">
        <v>143000</v>
      </c>
    </row>
    <row r="246" spans="1:7" x14ac:dyDescent="0.35">
      <c r="A246" t="s">
        <v>1286</v>
      </c>
      <c r="B246" s="2">
        <v>46130</v>
      </c>
      <c r="C246" t="s">
        <v>1045</v>
      </c>
      <c r="D246" t="s">
        <v>11</v>
      </c>
      <c r="E246" t="s">
        <v>46</v>
      </c>
      <c r="F246">
        <v>212</v>
      </c>
      <c r="G246">
        <v>2544000</v>
      </c>
    </row>
    <row r="247" spans="1:7" x14ac:dyDescent="0.35">
      <c r="A247" t="s">
        <v>1287</v>
      </c>
      <c r="B247" s="2">
        <v>46167</v>
      </c>
      <c r="C247" t="s">
        <v>1052</v>
      </c>
      <c r="D247" t="s">
        <v>35</v>
      </c>
      <c r="E247" t="s">
        <v>46</v>
      </c>
      <c r="F247">
        <v>237</v>
      </c>
      <c r="G247">
        <v>2844000</v>
      </c>
    </row>
    <row r="248" spans="1:7" x14ac:dyDescent="0.35">
      <c r="A248" t="s">
        <v>1288</v>
      </c>
      <c r="B248" s="2">
        <v>46141</v>
      </c>
      <c r="C248" t="s">
        <v>1045</v>
      </c>
      <c r="D248" t="s">
        <v>35</v>
      </c>
      <c r="E248" t="s">
        <v>24</v>
      </c>
      <c r="F248">
        <v>134</v>
      </c>
      <c r="G248">
        <v>6030000</v>
      </c>
    </row>
    <row r="249" spans="1:7" x14ac:dyDescent="0.35">
      <c r="A249" t="s">
        <v>1289</v>
      </c>
      <c r="B249" s="2">
        <v>46136</v>
      </c>
      <c r="C249" t="s">
        <v>1041</v>
      </c>
      <c r="D249" t="s">
        <v>20</v>
      </c>
      <c r="E249" t="s">
        <v>12</v>
      </c>
      <c r="F249">
        <v>87</v>
      </c>
      <c r="G249">
        <v>609000</v>
      </c>
    </row>
    <row r="250" spans="1:7" x14ac:dyDescent="0.35">
      <c r="A250" t="s">
        <v>1290</v>
      </c>
      <c r="B250" s="2">
        <v>46186</v>
      </c>
      <c r="C250" t="s">
        <v>1041</v>
      </c>
      <c r="D250" t="s">
        <v>11</v>
      </c>
      <c r="E250" t="s">
        <v>17</v>
      </c>
      <c r="F250">
        <v>94</v>
      </c>
      <c r="G250">
        <v>169200</v>
      </c>
    </row>
    <row r="251" spans="1:7" x14ac:dyDescent="0.35">
      <c r="A251" t="s">
        <v>1291</v>
      </c>
      <c r="B251" s="2">
        <v>46129</v>
      </c>
      <c r="C251" t="s">
        <v>1045</v>
      </c>
      <c r="D251" t="s">
        <v>35</v>
      </c>
      <c r="E251" t="s">
        <v>46</v>
      </c>
      <c r="F251">
        <v>122</v>
      </c>
      <c r="G251">
        <v>1464000</v>
      </c>
    </row>
    <row r="252" spans="1:7" x14ac:dyDescent="0.35">
      <c r="A252" t="s">
        <v>1292</v>
      </c>
      <c r="B252" s="2">
        <v>46130</v>
      </c>
      <c r="C252" t="s">
        <v>1041</v>
      </c>
      <c r="D252" t="s">
        <v>20</v>
      </c>
      <c r="E252" t="s">
        <v>24</v>
      </c>
      <c r="F252">
        <v>197</v>
      </c>
      <c r="G252">
        <v>8865000</v>
      </c>
    </row>
    <row r="253" spans="1:7" x14ac:dyDescent="0.35">
      <c r="A253" t="s">
        <v>1293</v>
      </c>
      <c r="B253" s="2">
        <v>46154</v>
      </c>
      <c r="C253" t="s">
        <v>1041</v>
      </c>
      <c r="D253" t="s">
        <v>20</v>
      </c>
      <c r="E253" t="s">
        <v>17</v>
      </c>
      <c r="F253">
        <v>234</v>
      </c>
      <c r="G253">
        <v>421200</v>
      </c>
    </row>
    <row r="254" spans="1:7" x14ac:dyDescent="0.35">
      <c r="A254" t="s">
        <v>1294</v>
      </c>
      <c r="B254" s="2">
        <v>46196</v>
      </c>
      <c r="C254" t="s">
        <v>1052</v>
      </c>
      <c r="D254" t="s">
        <v>16</v>
      </c>
      <c r="E254" t="s">
        <v>55</v>
      </c>
      <c r="F254">
        <v>58</v>
      </c>
      <c r="G254">
        <v>522000</v>
      </c>
    </row>
    <row r="255" spans="1:7" x14ac:dyDescent="0.35">
      <c r="A255" t="s">
        <v>1295</v>
      </c>
      <c r="B255" s="2">
        <v>46157</v>
      </c>
      <c r="C255" t="s">
        <v>1038</v>
      </c>
      <c r="D255" t="s">
        <v>20</v>
      </c>
      <c r="E255" t="s">
        <v>55</v>
      </c>
      <c r="F255">
        <v>278</v>
      </c>
      <c r="G255">
        <v>2502000</v>
      </c>
    </row>
    <row r="256" spans="1:7" x14ac:dyDescent="0.35">
      <c r="A256" t="s">
        <v>1296</v>
      </c>
      <c r="B256" s="2">
        <v>46194</v>
      </c>
      <c r="C256" t="s">
        <v>1052</v>
      </c>
      <c r="D256" t="s">
        <v>35</v>
      </c>
      <c r="E256" t="s">
        <v>17</v>
      </c>
      <c r="F256">
        <v>223</v>
      </c>
      <c r="G256">
        <v>401400</v>
      </c>
    </row>
    <row r="257" spans="1:7" x14ac:dyDescent="0.35">
      <c r="A257" t="s">
        <v>1297</v>
      </c>
      <c r="B257" s="2">
        <v>46129</v>
      </c>
      <c r="C257" t="s">
        <v>1043</v>
      </c>
      <c r="D257" t="s">
        <v>16</v>
      </c>
      <c r="E257" t="s">
        <v>55</v>
      </c>
      <c r="F257">
        <v>26</v>
      </c>
      <c r="G257">
        <v>234000</v>
      </c>
    </row>
    <row r="258" spans="1:7" x14ac:dyDescent="0.35">
      <c r="A258" t="s">
        <v>1298</v>
      </c>
      <c r="B258" s="2">
        <v>46185</v>
      </c>
      <c r="C258" t="s">
        <v>1052</v>
      </c>
      <c r="D258" t="s">
        <v>16</v>
      </c>
      <c r="E258" t="s">
        <v>43</v>
      </c>
      <c r="F258">
        <v>68</v>
      </c>
      <c r="G258">
        <v>170000</v>
      </c>
    </row>
    <row r="259" spans="1:7" x14ac:dyDescent="0.35">
      <c r="A259" t="s">
        <v>1299</v>
      </c>
      <c r="B259" s="2">
        <v>46126</v>
      </c>
      <c r="C259" t="s">
        <v>1045</v>
      </c>
      <c r="D259" t="s">
        <v>35</v>
      </c>
      <c r="E259" t="s">
        <v>46</v>
      </c>
      <c r="F259">
        <v>45</v>
      </c>
      <c r="G259">
        <v>540000</v>
      </c>
    </row>
    <row r="260" spans="1:7" x14ac:dyDescent="0.35">
      <c r="A260" t="s">
        <v>1300</v>
      </c>
      <c r="B260" s="2">
        <v>46161</v>
      </c>
      <c r="C260" t="s">
        <v>1038</v>
      </c>
      <c r="D260" t="s">
        <v>11</v>
      </c>
      <c r="E260" t="s">
        <v>43</v>
      </c>
      <c r="F260">
        <v>180</v>
      </c>
      <c r="G260">
        <v>450000</v>
      </c>
    </row>
    <row r="261" spans="1:7" x14ac:dyDescent="0.35">
      <c r="A261" t="s">
        <v>1301</v>
      </c>
      <c r="B261" s="2">
        <v>46141</v>
      </c>
      <c r="C261" t="s">
        <v>1045</v>
      </c>
      <c r="D261" t="s">
        <v>20</v>
      </c>
      <c r="E261" t="s">
        <v>12</v>
      </c>
      <c r="F261">
        <v>195</v>
      </c>
      <c r="G261">
        <v>1365000</v>
      </c>
    </row>
    <row r="262" spans="1:7" x14ac:dyDescent="0.35">
      <c r="A262" t="s">
        <v>1302</v>
      </c>
      <c r="B262" s="2">
        <v>46116</v>
      </c>
      <c r="C262" t="s">
        <v>1043</v>
      </c>
      <c r="D262" t="s">
        <v>16</v>
      </c>
      <c r="E262" t="s">
        <v>46</v>
      </c>
      <c r="F262">
        <v>98</v>
      </c>
      <c r="G262">
        <v>1176000</v>
      </c>
    </row>
    <row r="263" spans="1:7" x14ac:dyDescent="0.35">
      <c r="A263" t="s">
        <v>1303</v>
      </c>
      <c r="B263" s="2">
        <v>46194</v>
      </c>
      <c r="C263" t="s">
        <v>1038</v>
      </c>
      <c r="D263" t="s">
        <v>11</v>
      </c>
      <c r="E263" t="s">
        <v>24</v>
      </c>
      <c r="F263">
        <v>21</v>
      </c>
      <c r="G263">
        <v>945000</v>
      </c>
    </row>
    <row r="264" spans="1:7" x14ac:dyDescent="0.35">
      <c r="A264" t="s">
        <v>1304</v>
      </c>
      <c r="B264" s="2">
        <v>46132</v>
      </c>
      <c r="C264" t="s">
        <v>1041</v>
      </c>
      <c r="D264" t="s">
        <v>35</v>
      </c>
      <c r="E264" t="s">
        <v>43</v>
      </c>
      <c r="F264">
        <v>151</v>
      </c>
      <c r="G264">
        <v>377500</v>
      </c>
    </row>
    <row r="265" spans="1:7" x14ac:dyDescent="0.35">
      <c r="A265" t="s">
        <v>1305</v>
      </c>
      <c r="B265" s="2">
        <v>46159</v>
      </c>
      <c r="C265" t="s">
        <v>1052</v>
      </c>
      <c r="D265" t="s">
        <v>20</v>
      </c>
      <c r="E265" t="s">
        <v>43</v>
      </c>
      <c r="F265">
        <v>295</v>
      </c>
      <c r="G265">
        <v>737500</v>
      </c>
    </row>
    <row r="266" spans="1:7" x14ac:dyDescent="0.35">
      <c r="A266" t="s">
        <v>1306</v>
      </c>
      <c r="B266" s="2">
        <v>46121</v>
      </c>
      <c r="C266" t="s">
        <v>1045</v>
      </c>
      <c r="D266" t="s">
        <v>20</v>
      </c>
      <c r="E266" t="s">
        <v>12</v>
      </c>
      <c r="F266">
        <v>136</v>
      </c>
      <c r="G266">
        <v>952000</v>
      </c>
    </row>
    <row r="267" spans="1:7" x14ac:dyDescent="0.35">
      <c r="A267" t="s">
        <v>1307</v>
      </c>
      <c r="B267" s="2">
        <v>46189</v>
      </c>
      <c r="C267" t="s">
        <v>1043</v>
      </c>
      <c r="D267" t="s">
        <v>16</v>
      </c>
      <c r="E267" t="s">
        <v>43</v>
      </c>
      <c r="F267">
        <v>183</v>
      </c>
      <c r="G267">
        <v>457500</v>
      </c>
    </row>
    <row r="268" spans="1:7" x14ac:dyDescent="0.35">
      <c r="A268" t="s">
        <v>1308</v>
      </c>
      <c r="B268" s="2">
        <v>46191</v>
      </c>
      <c r="C268" t="s">
        <v>1041</v>
      </c>
      <c r="D268" t="s">
        <v>20</v>
      </c>
      <c r="E268" t="s">
        <v>22</v>
      </c>
      <c r="F268">
        <v>47</v>
      </c>
      <c r="G268">
        <v>42300</v>
      </c>
    </row>
    <row r="269" spans="1:7" x14ac:dyDescent="0.35">
      <c r="A269" t="s">
        <v>1309</v>
      </c>
      <c r="B269" s="2">
        <v>46139</v>
      </c>
      <c r="C269" t="s">
        <v>1052</v>
      </c>
      <c r="D269" t="s">
        <v>20</v>
      </c>
      <c r="E269" t="s">
        <v>24</v>
      </c>
      <c r="F269">
        <v>20</v>
      </c>
      <c r="G269">
        <v>900000</v>
      </c>
    </row>
    <row r="270" spans="1:7" x14ac:dyDescent="0.35">
      <c r="A270" t="s">
        <v>1310</v>
      </c>
      <c r="B270" s="2">
        <v>46127</v>
      </c>
      <c r="C270" t="s">
        <v>1041</v>
      </c>
      <c r="D270" t="s">
        <v>20</v>
      </c>
      <c r="E270" t="s">
        <v>55</v>
      </c>
      <c r="F270">
        <v>207</v>
      </c>
      <c r="G270">
        <v>1863000</v>
      </c>
    </row>
    <row r="271" spans="1:7" x14ac:dyDescent="0.35">
      <c r="A271" t="s">
        <v>1311</v>
      </c>
      <c r="B271" s="2">
        <v>46131</v>
      </c>
      <c r="C271" t="s">
        <v>1052</v>
      </c>
      <c r="D271" t="s">
        <v>20</v>
      </c>
      <c r="E271" t="s">
        <v>24</v>
      </c>
      <c r="F271">
        <v>75</v>
      </c>
      <c r="G271">
        <v>3375000</v>
      </c>
    </row>
    <row r="272" spans="1:7" x14ac:dyDescent="0.35">
      <c r="A272" t="s">
        <v>1312</v>
      </c>
      <c r="B272" s="2">
        <v>46202</v>
      </c>
      <c r="C272" t="s">
        <v>1038</v>
      </c>
      <c r="D272" t="s">
        <v>35</v>
      </c>
      <c r="E272" t="s">
        <v>22</v>
      </c>
      <c r="F272">
        <v>54</v>
      </c>
      <c r="G272">
        <v>48600</v>
      </c>
    </row>
    <row r="273" spans="1:7" x14ac:dyDescent="0.35">
      <c r="A273" t="s">
        <v>1313</v>
      </c>
      <c r="B273" s="2">
        <v>46164</v>
      </c>
      <c r="C273" t="s">
        <v>1041</v>
      </c>
      <c r="D273" t="s">
        <v>11</v>
      </c>
      <c r="E273" t="s">
        <v>12</v>
      </c>
      <c r="F273">
        <v>131</v>
      </c>
      <c r="G273">
        <v>917000</v>
      </c>
    </row>
    <row r="274" spans="1:7" x14ac:dyDescent="0.35">
      <c r="A274" t="s">
        <v>1314</v>
      </c>
      <c r="B274" s="2">
        <v>46138</v>
      </c>
      <c r="C274" t="s">
        <v>1041</v>
      </c>
      <c r="D274" t="s">
        <v>35</v>
      </c>
      <c r="E274" t="s">
        <v>12</v>
      </c>
      <c r="F274">
        <v>55</v>
      </c>
      <c r="G274">
        <v>385000</v>
      </c>
    </row>
    <row r="275" spans="1:7" x14ac:dyDescent="0.35">
      <c r="A275" t="s">
        <v>1315</v>
      </c>
      <c r="B275" s="2">
        <v>46201</v>
      </c>
      <c r="C275" t="s">
        <v>1041</v>
      </c>
      <c r="D275" t="s">
        <v>35</v>
      </c>
      <c r="E275" t="s">
        <v>46</v>
      </c>
      <c r="F275">
        <v>236</v>
      </c>
      <c r="G275">
        <v>2832000</v>
      </c>
    </row>
    <row r="276" spans="1:7" x14ac:dyDescent="0.35">
      <c r="A276" t="s">
        <v>1316</v>
      </c>
      <c r="B276" s="2">
        <v>46138</v>
      </c>
      <c r="C276" t="s">
        <v>1038</v>
      </c>
      <c r="D276" t="s">
        <v>16</v>
      </c>
      <c r="E276" t="s">
        <v>24</v>
      </c>
      <c r="F276">
        <v>99</v>
      </c>
      <c r="G276">
        <v>4455000</v>
      </c>
    </row>
    <row r="277" spans="1:7" x14ac:dyDescent="0.35">
      <c r="A277" t="s">
        <v>1317</v>
      </c>
      <c r="B277" s="2">
        <v>46138</v>
      </c>
      <c r="C277" t="s">
        <v>1043</v>
      </c>
      <c r="D277" t="s">
        <v>20</v>
      </c>
      <c r="E277" t="s">
        <v>17</v>
      </c>
      <c r="F277">
        <v>102</v>
      </c>
      <c r="G277">
        <v>183600</v>
      </c>
    </row>
    <row r="278" spans="1:7" x14ac:dyDescent="0.35">
      <c r="A278" t="s">
        <v>1318</v>
      </c>
      <c r="B278" s="2">
        <v>46158</v>
      </c>
      <c r="C278" t="s">
        <v>1052</v>
      </c>
      <c r="D278" t="s">
        <v>35</v>
      </c>
      <c r="E278" t="s">
        <v>17</v>
      </c>
      <c r="F278">
        <v>84</v>
      </c>
      <c r="G278">
        <v>151200</v>
      </c>
    </row>
    <row r="279" spans="1:7" x14ac:dyDescent="0.35">
      <c r="A279" t="s">
        <v>1319</v>
      </c>
      <c r="B279" s="2">
        <v>46161</v>
      </c>
      <c r="C279" t="s">
        <v>1041</v>
      </c>
      <c r="D279" t="s">
        <v>20</v>
      </c>
      <c r="E279" t="s">
        <v>12</v>
      </c>
      <c r="F279">
        <v>147</v>
      </c>
      <c r="G279">
        <v>1029000</v>
      </c>
    </row>
    <row r="280" spans="1:7" x14ac:dyDescent="0.35">
      <c r="A280" t="s">
        <v>1320</v>
      </c>
      <c r="B280" s="2">
        <v>46194</v>
      </c>
      <c r="C280" t="s">
        <v>1038</v>
      </c>
      <c r="D280" t="s">
        <v>35</v>
      </c>
      <c r="E280" t="s">
        <v>43</v>
      </c>
      <c r="F280">
        <v>41</v>
      </c>
      <c r="G280">
        <v>102500</v>
      </c>
    </row>
    <row r="281" spans="1:7" x14ac:dyDescent="0.35">
      <c r="A281" t="s">
        <v>1321</v>
      </c>
      <c r="B281" s="2">
        <v>46165</v>
      </c>
      <c r="C281" t="s">
        <v>1043</v>
      </c>
      <c r="D281" t="s">
        <v>35</v>
      </c>
      <c r="E281" t="s">
        <v>12</v>
      </c>
      <c r="F281">
        <v>235</v>
      </c>
      <c r="G281">
        <v>1645000</v>
      </c>
    </row>
    <row r="282" spans="1:7" x14ac:dyDescent="0.35">
      <c r="A282" t="s">
        <v>1322</v>
      </c>
      <c r="B282" s="2">
        <v>46115</v>
      </c>
      <c r="C282" t="s">
        <v>1052</v>
      </c>
      <c r="D282" t="s">
        <v>16</v>
      </c>
      <c r="E282" t="s">
        <v>12</v>
      </c>
      <c r="F282">
        <v>126</v>
      </c>
      <c r="G282">
        <v>882000</v>
      </c>
    </row>
    <row r="283" spans="1:7" x14ac:dyDescent="0.35">
      <c r="A283" t="s">
        <v>1323</v>
      </c>
      <c r="B283" s="2">
        <v>46178</v>
      </c>
      <c r="C283" t="s">
        <v>1038</v>
      </c>
      <c r="D283" t="s">
        <v>11</v>
      </c>
      <c r="E283" t="s">
        <v>12</v>
      </c>
      <c r="F283">
        <v>128</v>
      </c>
      <c r="G283">
        <v>896000</v>
      </c>
    </row>
    <row r="284" spans="1:7" x14ac:dyDescent="0.35">
      <c r="A284" t="s">
        <v>1324</v>
      </c>
      <c r="B284" s="2">
        <v>46154</v>
      </c>
      <c r="C284" t="s">
        <v>1052</v>
      </c>
      <c r="D284" t="s">
        <v>11</v>
      </c>
      <c r="E284" t="s">
        <v>12</v>
      </c>
      <c r="F284">
        <v>200</v>
      </c>
      <c r="G284">
        <v>1400000</v>
      </c>
    </row>
    <row r="285" spans="1:7" x14ac:dyDescent="0.35">
      <c r="A285" t="s">
        <v>1325</v>
      </c>
      <c r="B285" s="2">
        <v>46131</v>
      </c>
      <c r="C285" t="s">
        <v>1041</v>
      </c>
      <c r="D285" t="s">
        <v>35</v>
      </c>
      <c r="E285" t="s">
        <v>17</v>
      </c>
      <c r="F285">
        <v>183</v>
      </c>
      <c r="G285">
        <v>329400</v>
      </c>
    </row>
    <row r="286" spans="1:7" x14ac:dyDescent="0.35">
      <c r="A286" t="s">
        <v>1326</v>
      </c>
      <c r="B286" s="2">
        <v>46129</v>
      </c>
      <c r="C286" t="s">
        <v>1043</v>
      </c>
      <c r="D286" t="s">
        <v>16</v>
      </c>
      <c r="E286" t="s">
        <v>17</v>
      </c>
      <c r="F286">
        <v>87</v>
      </c>
      <c r="G286">
        <v>156600</v>
      </c>
    </row>
    <row r="287" spans="1:7" x14ac:dyDescent="0.35">
      <c r="A287" t="s">
        <v>1327</v>
      </c>
      <c r="B287" s="2">
        <v>46145</v>
      </c>
      <c r="C287" t="s">
        <v>1038</v>
      </c>
      <c r="D287" t="s">
        <v>20</v>
      </c>
      <c r="E287" t="s">
        <v>55</v>
      </c>
      <c r="F287">
        <v>199</v>
      </c>
      <c r="G287">
        <v>1791000</v>
      </c>
    </row>
    <row r="288" spans="1:7" x14ac:dyDescent="0.35">
      <c r="A288" t="s">
        <v>1328</v>
      </c>
      <c r="B288" s="2">
        <v>46188</v>
      </c>
      <c r="C288" t="s">
        <v>1043</v>
      </c>
      <c r="D288" t="s">
        <v>20</v>
      </c>
      <c r="E288" t="s">
        <v>55</v>
      </c>
      <c r="F288">
        <v>200</v>
      </c>
      <c r="G288">
        <v>1800000</v>
      </c>
    </row>
    <row r="289" spans="1:7" x14ac:dyDescent="0.35">
      <c r="A289" t="s">
        <v>1329</v>
      </c>
      <c r="B289" s="2">
        <v>46161</v>
      </c>
      <c r="C289" t="s">
        <v>1041</v>
      </c>
      <c r="D289" t="s">
        <v>35</v>
      </c>
      <c r="E289" t="s">
        <v>46</v>
      </c>
      <c r="F289">
        <v>188</v>
      </c>
      <c r="G289">
        <v>2256000</v>
      </c>
    </row>
    <row r="290" spans="1:7" x14ac:dyDescent="0.35">
      <c r="A290" t="s">
        <v>1330</v>
      </c>
      <c r="B290" s="2">
        <v>46168</v>
      </c>
      <c r="C290" t="s">
        <v>1043</v>
      </c>
      <c r="D290" t="s">
        <v>11</v>
      </c>
      <c r="E290" t="s">
        <v>12</v>
      </c>
      <c r="F290">
        <v>41</v>
      </c>
      <c r="G290">
        <v>287000</v>
      </c>
    </row>
    <row r="291" spans="1:7" x14ac:dyDescent="0.35">
      <c r="A291" t="s">
        <v>1331</v>
      </c>
      <c r="B291" s="2">
        <v>46175</v>
      </c>
      <c r="C291" t="s">
        <v>1043</v>
      </c>
      <c r="D291" t="s">
        <v>16</v>
      </c>
      <c r="E291" t="s">
        <v>17</v>
      </c>
      <c r="F291">
        <v>85</v>
      </c>
      <c r="G291">
        <v>153000</v>
      </c>
    </row>
    <row r="292" spans="1:7" x14ac:dyDescent="0.35">
      <c r="A292" t="s">
        <v>1332</v>
      </c>
      <c r="B292" s="2">
        <v>46115</v>
      </c>
      <c r="C292" t="s">
        <v>1045</v>
      </c>
      <c r="D292" t="s">
        <v>11</v>
      </c>
      <c r="E292" t="s">
        <v>24</v>
      </c>
      <c r="F292">
        <v>40</v>
      </c>
      <c r="G292">
        <v>1800000</v>
      </c>
    </row>
    <row r="293" spans="1:7" x14ac:dyDescent="0.35">
      <c r="A293" t="s">
        <v>1333</v>
      </c>
      <c r="B293" s="2">
        <v>46161</v>
      </c>
      <c r="C293" t="s">
        <v>1043</v>
      </c>
      <c r="D293" t="s">
        <v>20</v>
      </c>
      <c r="E293" t="s">
        <v>22</v>
      </c>
      <c r="F293">
        <v>119</v>
      </c>
      <c r="G293">
        <v>107100</v>
      </c>
    </row>
    <row r="294" spans="1:7" x14ac:dyDescent="0.35">
      <c r="A294" t="s">
        <v>1334</v>
      </c>
      <c r="B294" s="2">
        <v>46167</v>
      </c>
      <c r="C294" t="s">
        <v>1052</v>
      </c>
      <c r="D294" t="s">
        <v>11</v>
      </c>
      <c r="E294" t="s">
        <v>46</v>
      </c>
      <c r="F294">
        <v>122</v>
      </c>
      <c r="G294">
        <v>1464000</v>
      </c>
    </row>
    <row r="295" spans="1:7" x14ac:dyDescent="0.35">
      <c r="A295" t="s">
        <v>1335</v>
      </c>
      <c r="B295" s="2">
        <v>46138</v>
      </c>
      <c r="C295" t="s">
        <v>1038</v>
      </c>
      <c r="D295" t="s">
        <v>20</v>
      </c>
      <c r="E295" t="s">
        <v>17</v>
      </c>
      <c r="F295">
        <v>66</v>
      </c>
      <c r="G295">
        <v>118800</v>
      </c>
    </row>
    <row r="296" spans="1:7" x14ac:dyDescent="0.35">
      <c r="A296" t="s">
        <v>1336</v>
      </c>
      <c r="B296" s="2">
        <v>46184</v>
      </c>
      <c r="C296" t="s">
        <v>1045</v>
      </c>
      <c r="D296" t="s">
        <v>16</v>
      </c>
      <c r="E296" t="s">
        <v>24</v>
      </c>
      <c r="F296">
        <v>58</v>
      </c>
      <c r="G296">
        <v>2610000</v>
      </c>
    </row>
    <row r="297" spans="1:7" x14ac:dyDescent="0.35">
      <c r="A297" t="s">
        <v>1337</v>
      </c>
      <c r="B297" s="2">
        <v>46164</v>
      </c>
      <c r="C297" t="s">
        <v>1038</v>
      </c>
      <c r="D297" t="s">
        <v>16</v>
      </c>
      <c r="E297" t="s">
        <v>12</v>
      </c>
      <c r="F297">
        <v>109</v>
      </c>
      <c r="G297">
        <v>763000</v>
      </c>
    </row>
    <row r="298" spans="1:7" x14ac:dyDescent="0.35">
      <c r="A298" t="s">
        <v>1338</v>
      </c>
      <c r="B298" s="2">
        <v>46119</v>
      </c>
      <c r="C298" t="s">
        <v>1038</v>
      </c>
      <c r="D298" t="s">
        <v>35</v>
      </c>
      <c r="E298" t="s">
        <v>32</v>
      </c>
      <c r="F298">
        <v>104</v>
      </c>
      <c r="G298">
        <v>52000</v>
      </c>
    </row>
    <row r="299" spans="1:7" x14ac:dyDescent="0.35">
      <c r="A299" t="s">
        <v>1339</v>
      </c>
      <c r="B299" s="2">
        <v>46158</v>
      </c>
      <c r="C299" t="s">
        <v>1041</v>
      </c>
      <c r="D299" t="s">
        <v>35</v>
      </c>
      <c r="E299" t="s">
        <v>12</v>
      </c>
      <c r="F299">
        <v>292</v>
      </c>
      <c r="G299">
        <v>2044000</v>
      </c>
    </row>
    <row r="300" spans="1:7" x14ac:dyDescent="0.35">
      <c r="A300" t="s">
        <v>1340</v>
      </c>
      <c r="B300" s="2">
        <v>46158</v>
      </c>
      <c r="C300" t="s">
        <v>1041</v>
      </c>
      <c r="D300" t="s">
        <v>11</v>
      </c>
      <c r="E300" t="s">
        <v>55</v>
      </c>
      <c r="F300">
        <v>207</v>
      </c>
      <c r="G300">
        <v>1863000</v>
      </c>
    </row>
    <row r="301" spans="1:7" x14ac:dyDescent="0.35">
      <c r="A301" t="s">
        <v>1341</v>
      </c>
      <c r="B301" s="2">
        <v>46128</v>
      </c>
      <c r="C301" t="s">
        <v>1045</v>
      </c>
      <c r="D301" t="s">
        <v>16</v>
      </c>
      <c r="E301" t="s">
        <v>22</v>
      </c>
      <c r="F301">
        <v>178</v>
      </c>
      <c r="G301">
        <v>160200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BDB53-0C2D-4261-A94F-6549212A8578}">
  <sheetPr codeName="Sheet2"/>
  <dimension ref="A1:E27"/>
  <sheetViews>
    <sheetView topLeftCell="A14" zoomScale="77" zoomScaleNormal="80" workbookViewId="0">
      <selection activeCell="D39" sqref="D39"/>
    </sheetView>
  </sheetViews>
  <sheetFormatPr defaultRowHeight="14.5" x14ac:dyDescent="0.35"/>
  <cols>
    <col min="1" max="1" width="29.36328125" bestFit="1" customWidth="1"/>
    <col min="2" max="2" width="69" bestFit="1" customWidth="1"/>
    <col min="3" max="3" width="13.54296875" bestFit="1" customWidth="1"/>
    <col min="4" max="4" width="18" bestFit="1" customWidth="1"/>
    <col min="5" max="5" width="13.7265625" bestFit="1" customWidth="1"/>
  </cols>
  <sheetData>
    <row r="1" spans="1:5" x14ac:dyDescent="0.35">
      <c r="A1" s="7" t="s">
        <v>1351</v>
      </c>
      <c r="B1" s="7" t="s">
        <v>1352</v>
      </c>
    </row>
    <row r="2" spans="1:5" x14ac:dyDescent="0.35">
      <c r="A2" s="3" t="s">
        <v>1353</v>
      </c>
      <c r="B2" s="3">
        <v>1000</v>
      </c>
    </row>
    <row r="3" spans="1:5" x14ac:dyDescent="0.35">
      <c r="A3" s="3" t="s">
        <v>1354</v>
      </c>
      <c r="B3" s="3">
        <f>COUNTIF(tbl_Orders[Order_Status],"Dispatched")</f>
        <v>733</v>
      </c>
    </row>
    <row r="4" spans="1:5" x14ac:dyDescent="0.35">
      <c r="A4" s="3" t="s">
        <v>1355</v>
      </c>
      <c r="B4" s="3">
        <v>181</v>
      </c>
    </row>
    <row r="5" spans="1:5" x14ac:dyDescent="0.35">
      <c r="A5" s="3" t="s">
        <v>1356</v>
      </c>
      <c r="B5" s="3">
        <f>COUNTIF(tbl_Orders[Order_Status],"Delayed")</f>
        <v>86</v>
      </c>
    </row>
    <row r="6" spans="1:5" x14ac:dyDescent="0.35">
      <c r="A6" s="3" t="s">
        <v>1357</v>
      </c>
      <c r="B6" s="4">
        <f>(COUNTIF(qry_Orders[Order_Status],"Dispatched")-COUNTIF(qry_Orders[Dispatch_Performance],"Delayed"))/COUNTIF(qry_Orders[Order_Status],"Dispatched")</f>
        <v>0.88267394270122779</v>
      </c>
    </row>
    <row r="7" spans="1:5" x14ac:dyDescent="0.35">
      <c r="A7" s="3" t="s">
        <v>1358</v>
      </c>
      <c r="B7" s="3">
        <f>SUM(tbl_Orders[Quantity])</f>
        <v>15356</v>
      </c>
    </row>
    <row r="8" spans="1:5" x14ac:dyDescent="0.35">
      <c r="A8" s="3" t="s">
        <v>1359</v>
      </c>
      <c r="B8" s="3">
        <f>SUM(tbl_Inventory[Closing_Stock])</f>
        <v>7433</v>
      </c>
    </row>
    <row r="9" spans="1:5" x14ac:dyDescent="0.35">
      <c r="A9" s="3" t="s">
        <v>1360</v>
      </c>
      <c r="B9" s="3">
        <f>COUNTIF(qry_Inventory[Stock_Status],"Low stock")</f>
        <v>6</v>
      </c>
    </row>
    <row r="10" spans="1:5" x14ac:dyDescent="0.35">
      <c r="A10" s="3" t="s">
        <v>1361</v>
      </c>
      <c r="B10" s="3">
        <f>COUNTIF(qry_Inventory[Stock_Status],"Out of Stock")</f>
        <v>2</v>
      </c>
    </row>
    <row r="11" spans="1:5" x14ac:dyDescent="0.35">
      <c r="A11" s="3" t="s">
        <v>1362</v>
      </c>
      <c r="B11" s="5">
        <f>SUM(qry_Purchase[Purchase_Value])</f>
        <v>372207800</v>
      </c>
      <c r="D11" s="8"/>
    </row>
    <row r="12" spans="1:5" x14ac:dyDescent="0.35">
      <c r="A12" s="3" t="s">
        <v>1363</v>
      </c>
      <c r="B12" s="6">
        <f>SUM(qry_Purchase[Quantity])</f>
        <v>44886</v>
      </c>
    </row>
    <row r="15" spans="1:5" x14ac:dyDescent="0.35">
      <c r="A15" s="15" t="s">
        <v>1364</v>
      </c>
      <c r="B15" s="15"/>
      <c r="C15" s="15"/>
      <c r="D15" s="15"/>
      <c r="E15" s="15"/>
    </row>
    <row r="16" spans="1:5" x14ac:dyDescent="0.35">
      <c r="A16" s="9" t="s">
        <v>2</v>
      </c>
      <c r="B16" s="9" t="s">
        <v>1353</v>
      </c>
      <c r="C16" s="9" t="s">
        <v>1358</v>
      </c>
      <c r="D16" s="9" t="s">
        <v>1356</v>
      </c>
      <c r="E16" s="10" t="s">
        <v>1366</v>
      </c>
    </row>
    <row r="17" spans="1:5" x14ac:dyDescent="0.35">
      <c r="A17" s="3" t="s">
        <v>15</v>
      </c>
      <c r="B17" s="3">
        <f>COUNTIF(tbl_Orders[Region],A17)</f>
        <v>279</v>
      </c>
      <c r="C17" s="3">
        <f>SUMIF(tbl_Orders[Region],A17,tbl_Orders[Quantity])</f>
        <v>4462</v>
      </c>
      <c r="D17" s="3">
        <f>COUNTIFS(tbl_Orders[Region],A17,tbl_Orders[Order_Status],"Delayed")</f>
        <v>24</v>
      </c>
      <c r="E17" s="4">
        <f>IFERROR(D17/B17,0)</f>
        <v>8.6021505376344093E-2</v>
      </c>
    </row>
    <row r="18" spans="1:5" x14ac:dyDescent="0.35">
      <c r="A18" s="3" t="s">
        <v>34</v>
      </c>
      <c r="B18" s="3">
        <f>COUNTIF(tbl_Orders[Region],A18)</f>
        <v>252</v>
      </c>
      <c r="C18" s="3">
        <f>SUMIF(tbl_Orders[Region],A18,tbl_Orders[Quantity])</f>
        <v>3758</v>
      </c>
      <c r="D18" s="3">
        <f>COUNTIFS(tbl_Orders[Region],A18,tbl_Orders[Order_Status],"Delayed")</f>
        <v>22</v>
      </c>
      <c r="E18" s="4">
        <f t="shared" ref="E18:E20" si="0">IFERROR(D18/B18,0)</f>
        <v>8.7301587301587297E-2</v>
      </c>
    </row>
    <row r="19" spans="1:5" x14ac:dyDescent="0.35">
      <c r="A19" s="3" t="s">
        <v>10</v>
      </c>
      <c r="B19" s="3">
        <f>COUNTIF(tbl_Orders[Region],A19)</f>
        <v>234</v>
      </c>
      <c r="C19" s="3">
        <f>SUMIF(tbl_Orders[Region],A19,tbl_Orders[Quantity])</f>
        <v>3429</v>
      </c>
      <c r="D19" s="3">
        <f>COUNTIFS(tbl_Orders[Region],A19,tbl_Orders[Order_Status],"Delayed")</f>
        <v>19</v>
      </c>
      <c r="E19" s="4">
        <f t="shared" si="0"/>
        <v>8.11965811965812E-2</v>
      </c>
    </row>
    <row r="20" spans="1:5" x14ac:dyDescent="0.35">
      <c r="A20" s="3" t="s">
        <v>19</v>
      </c>
      <c r="B20" s="3">
        <f>COUNTIF(tbl_Orders[Region],A20)</f>
        <v>235</v>
      </c>
      <c r="C20" s="3">
        <f>SUMIF(tbl_Orders[Region],A20,tbl_Orders[Quantity])</f>
        <v>3707</v>
      </c>
      <c r="D20" s="3">
        <f>COUNTIFS(tbl_Orders[Region],A20,tbl_Orders[Order_Status],"Delayed")</f>
        <v>21</v>
      </c>
      <c r="E20" s="4">
        <f t="shared" si="0"/>
        <v>8.9361702127659579E-2</v>
      </c>
    </row>
    <row r="21" spans="1:5" x14ac:dyDescent="0.35">
      <c r="A21" s="3" t="s">
        <v>1365</v>
      </c>
      <c r="B21" s="3">
        <f>SUM(B17:B20)</f>
        <v>1000</v>
      </c>
      <c r="C21" s="3">
        <f>SUM(C17:C20)</f>
        <v>15356</v>
      </c>
      <c r="D21" s="3">
        <f>SUM(D17:D20)</f>
        <v>86</v>
      </c>
      <c r="E21" s="4">
        <f>IFERROR(D21/B21,0)</f>
        <v>8.5999999999999993E-2</v>
      </c>
    </row>
    <row r="22" spans="1:5" x14ac:dyDescent="0.35">
      <c r="E22" s="12"/>
    </row>
    <row r="24" spans="1:5" x14ac:dyDescent="0.35">
      <c r="A24" s="11" t="s">
        <v>1367</v>
      </c>
      <c r="B24" s="3" t="str">
        <f>"Highest Order Volume: "&amp;INDEX(A17:A20,MATCH(MAX(B17:B20),B17:B20,0))</f>
        <v>Highest Order Volume: North</v>
      </c>
    </row>
    <row r="25" spans="1:5" x14ac:dyDescent="0.35">
      <c r="A25" s="11" t="s">
        <v>1368</v>
      </c>
      <c r="B25" s="3" t="str">
        <f>INDEX(A17:A20,MATCH(MAX(B17:B20),B17:B20,0))&amp;" has the highest order volume with "&amp;MAX(B17:B20)&amp;" orders."</f>
        <v>North has the highest order volume with 279 orders.</v>
      </c>
    </row>
    <row r="26" spans="1:5" x14ac:dyDescent="0.35">
      <c r="A26" s="11" t="s">
        <v>1369</v>
      </c>
      <c r="B26" s="3" t="str">
        <f>"Focus operational review on "&amp;INDEX(A17:A20,MATCH(MAX(E17:E20),E17:E20,0))&amp;" because it has the highest delay rate of "&amp;TEXT(MAX(E17:E20),"0.00%")&amp;"."</f>
        <v>Focus operational review on West because it has the highest delay rate of 8.94%.</v>
      </c>
    </row>
    <row r="27" spans="1:5" x14ac:dyDescent="0.35">
      <c r="A27" s="11" t="s">
        <v>1370</v>
      </c>
      <c r="B27" s="13">
        <v>46301.795706018522</v>
      </c>
    </row>
  </sheetData>
  <mergeCells count="1">
    <mergeCell ref="A15:E1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433A5-82BF-40BF-943B-0273C3038C3B}">
  <sheetPr codeName="Sheet3"/>
  <dimension ref="B2:Q3"/>
  <sheetViews>
    <sheetView zoomScale="25" zoomScaleNormal="30" workbookViewId="0">
      <selection activeCell="CX37" sqref="CX37"/>
    </sheetView>
  </sheetViews>
  <sheetFormatPr defaultRowHeight="14.5" x14ac:dyDescent="0.35"/>
  <cols>
    <col min="1" max="1" width="3.6328125" customWidth="1"/>
    <col min="2" max="17" width="18.6328125" customWidth="1"/>
  </cols>
  <sheetData>
    <row r="2" spans="2:17" x14ac:dyDescent="0.35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2:17" x14ac:dyDescent="0.35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</sheetData>
  <mergeCells count="1">
    <mergeCell ref="B2:Q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2ADC6D-A30A-41E2-80CF-D970C911D1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qry_Orders</vt:lpstr>
      <vt:lpstr>Orders</vt:lpstr>
      <vt:lpstr>qry_Inventory</vt:lpstr>
      <vt:lpstr>Inventory</vt:lpstr>
      <vt:lpstr>qry_Purchase</vt:lpstr>
      <vt:lpstr>Purchase</vt:lpstr>
      <vt:lpstr>MIS_Summary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Tushar Sharma</cp:lastModifiedBy>
  <dcterms:created xsi:type="dcterms:W3CDTF">2026-08-20T03:29:35Z</dcterms:created>
  <dcterms:modified xsi:type="dcterms:W3CDTF">2026-10-06T14:07:06Z</dcterms:modified>
</cp:coreProperties>
</file>